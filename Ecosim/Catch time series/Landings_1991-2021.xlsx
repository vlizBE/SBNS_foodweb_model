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CatchTimeSeries/"/>
    </mc:Choice>
  </mc:AlternateContent>
  <xr:revisionPtr revIDLastSave="551" documentId="11_F25DC773A252ABDACC10484E91DC63BC5BDE58EF" xr6:coauthVersionLast="47" xr6:coauthVersionMax="47" xr10:uidLastSave="{266A07C4-5B9A-4B9A-9BCF-2CA2AB0E34F4}"/>
  <bookViews>
    <workbookView minimized="1" xWindow="1536" yWindow="1536" windowWidth="17280" windowHeight="8964" firstSheet="3" activeTab="7" xr2:uid="{00000000-000D-0000-FFFF-FFFF00000000}"/>
  </bookViews>
  <sheets>
    <sheet name="Final time series total catch" sheetId="2" r:id="rId1"/>
    <sheet name="Dab correction" sheetId="7" r:id="rId2"/>
    <sheet name="Other flatfish correction" sheetId="4" r:id="rId3"/>
    <sheet name="Other gadoid correction" sheetId="5" r:id="rId4"/>
    <sheet name="Pelagic fish" sheetId="6" r:id="rId5"/>
    <sheet name="Data from R" sheetId="1" r:id="rId6"/>
    <sheet name="Demersal fish" sheetId="8" r:id="rId7"/>
    <sheet name="Squid&amp;cuttlefish" sheetId="9" r:id="rId8"/>
  </sheets>
  <definedNames>
    <definedName name="_xlnm._FilterDatabase" localSheetId="5" hidden="1">'Data from R'!$A$1:$Z$1</definedName>
    <definedName name="_xlnm._FilterDatabase" localSheetId="6" hidden="1">'Demersal fish'!$A$1:$W$189</definedName>
    <definedName name="_xlnm._FilterDatabase" localSheetId="2" hidden="1">'Other flatfish correction'!$A$1:$V$92</definedName>
    <definedName name="_xlnm._FilterDatabase" localSheetId="4" hidden="1">'Pelagic fish'!$A$1:$V$36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2" i="9" l="1"/>
  <c r="AS32" i="9"/>
  <c r="AT32" i="9"/>
  <c r="AU32" i="9"/>
  <c r="AV32" i="9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BJ32" i="9"/>
  <c r="BK32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D216" i="8" l="1"/>
  <c r="D242" i="8"/>
  <c r="D243" i="8"/>
  <c r="D244" i="8"/>
  <c r="D245" i="8"/>
  <c r="D246" i="8"/>
  <c r="D232" i="8"/>
  <c r="D233" i="8"/>
  <c r="D234" i="8"/>
  <c r="D235" i="8"/>
  <c r="D236" i="8"/>
  <c r="D237" i="8"/>
  <c r="D238" i="8"/>
  <c r="D239" i="8"/>
  <c r="D240" i="8"/>
  <c r="D241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K209" i="8" l="1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C192" i="8"/>
  <c r="D192" i="8"/>
  <c r="E192" i="8"/>
  <c r="F192" i="8"/>
  <c r="G192" i="8"/>
  <c r="H192" i="8"/>
  <c r="I192" i="8"/>
  <c r="J192" i="8"/>
  <c r="K192" i="8"/>
  <c r="L192" i="8"/>
  <c r="L207" i="8" s="1"/>
  <c r="M192" i="8"/>
  <c r="N192" i="8"/>
  <c r="O192" i="8"/>
  <c r="P192" i="8"/>
  <c r="Q192" i="8"/>
  <c r="R192" i="8"/>
  <c r="S192" i="8"/>
  <c r="S207" i="8" s="1"/>
  <c r="T192" i="8"/>
  <c r="T207" i="8" s="1"/>
  <c r="U192" i="8"/>
  <c r="V192" i="8"/>
  <c r="D15" i="7"/>
  <c r="E15" i="7"/>
  <c r="F15" i="7"/>
  <c r="G15" i="7"/>
  <c r="H15" i="7"/>
  <c r="I15" i="7"/>
  <c r="C15" i="7"/>
  <c r="B16" i="7"/>
  <c r="K14" i="7"/>
  <c r="L14" i="7"/>
  <c r="M14" i="7"/>
  <c r="N14" i="7"/>
  <c r="O14" i="7"/>
  <c r="P14" i="7"/>
  <c r="Q14" i="7"/>
  <c r="R14" i="7"/>
  <c r="S14" i="7"/>
  <c r="T14" i="7"/>
  <c r="U14" i="7"/>
  <c r="V14" i="7"/>
  <c r="J14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C13" i="7"/>
  <c r="B97" i="4"/>
  <c r="J95" i="4"/>
  <c r="J96" i="4" s="1"/>
  <c r="V38" i="6"/>
  <c r="L60" i="5"/>
  <c r="S62" i="5"/>
  <c r="T62" i="5"/>
  <c r="U62" i="5"/>
  <c r="D60" i="5"/>
  <c r="E60" i="5"/>
  <c r="F60" i="5"/>
  <c r="G60" i="5"/>
  <c r="H60" i="5"/>
  <c r="I60" i="5"/>
  <c r="J60" i="5"/>
  <c r="K60" i="5"/>
  <c r="M60" i="5"/>
  <c r="N60" i="5"/>
  <c r="N62" i="5" s="1"/>
  <c r="O60" i="5"/>
  <c r="P60" i="5"/>
  <c r="P62" i="5" s="1"/>
  <c r="Q60" i="5"/>
  <c r="R60" i="5"/>
  <c r="S60" i="5"/>
  <c r="T60" i="5"/>
  <c r="U60" i="5"/>
  <c r="V60" i="5"/>
  <c r="V62" i="5" s="1"/>
  <c r="C60" i="5"/>
  <c r="P96" i="4"/>
  <c r="K96" i="4"/>
  <c r="C94" i="4"/>
  <c r="K95" i="4"/>
  <c r="L95" i="4"/>
  <c r="M95" i="4"/>
  <c r="N95" i="4"/>
  <c r="O95" i="4"/>
  <c r="O96" i="4" s="1"/>
  <c r="P95" i="4"/>
  <c r="Q95" i="4"/>
  <c r="R95" i="4"/>
  <c r="R96" i="4" s="1"/>
  <c r="S95" i="4"/>
  <c r="S96" i="4" s="1"/>
  <c r="T95" i="4"/>
  <c r="U95" i="4"/>
  <c r="V95" i="4"/>
  <c r="C95" i="4"/>
  <c r="D95" i="4"/>
  <c r="E95" i="4"/>
  <c r="F95" i="4"/>
  <c r="G95" i="4"/>
  <c r="H95" i="4"/>
  <c r="I95" i="4"/>
  <c r="T96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L96" i="4"/>
  <c r="M96" i="4"/>
  <c r="N96" i="4"/>
  <c r="Q96" i="4"/>
  <c r="U96" i="4"/>
  <c r="V96" i="4"/>
  <c r="P207" i="8" l="1"/>
  <c r="Q207" i="8"/>
  <c r="O207" i="8"/>
  <c r="R207" i="8"/>
  <c r="V207" i="8"/>
  <c r="N207" i="8"/>
  <c r="U207" i="8"/>
  <c r="M207" i="8"/>
  <c r="B208" i="8" s="1"/>
  <c r="F209" i="8" s="1"/>
  <c r="C96" i="4"/>
  <c r="I96" i="4"/>
  <c r="H96" i="4"/>
  <c r="G96" i="4"/>
  <c r="F96" i="4"/>
  <c r="E96" i="4"/>
  <c r="D96" i="4"/>
  <c r="R62" i="5"/>
  <c r="Q62" i="5"/>
  <c r="O62" i="5"/>
  <c r="M62" i="5"/>
  <c r="L62" i="5"/>
  <c r="B62" i="5" s="1"/>
  <c r="I209" i="8" l="1"/>
  <c r="D209" i="8"/>
  <c r="J209" i="8"/>
  <c r="H209" i="8"/>
  <c r="G209" i="8"/>
  <c r="C209" i="8"/>
  <c r="E209" i="8"/>
  <c r="J63" i="5"/>
  <c r="C63" i="5"/>
  <c r="D63" i="5"/>
  <c r="E63" i="5"/>
  <c r="F63" i="5"/>
  <c r="G63" i="5"/>
  <c r="H63" i="5"/>
  <c r="I63" i="5"/>
  <c r="K63" i="5"/>
</calcChain>
</file>

<file path=xl/sharedStrings.xml><?xml version="1.0" encoding="utf-8"?>
<sst xmlns="http://schemas.openxmlformats.org/spreadsheetml/2006/main" count="1303" uniqueCount="191">
  <si>
    <t>Cod (adult)</t>
  </si>
  <si>
    <t>Crangon (commercial size)</t>
  </si>
  <si>
    <t>Dab</t>
  </si>
  <si>
    <t>Demersal fish</t>
  </si>
  <si>
    <t>Epifaunal macrobenthos (mobile grazers)</t>
  </si>
  <si>
    <t>Herring (adult)</t>
  </si>
  <si>
    <t>Horse mackerel</t>
  </si>
  <si>
    <t>Infaunal macrobenthos</t>
  </si>
  <si>
    <t>Large crabs + shrimps</t>
  </si>
  <si>
    <t>Mackerel</t>
  </si>
  <si>
    <t>ND</t>
  </si>
  <si>
    <t>Other flatfish</t>
  </si>
  <si>
    <t>Other gadoids</t>
  </si>
  <si>
    <t>Pelagic fish</t>
  </si>
  <si>
    <t>Plaice (adult)</t>
  </si>
  <si>
    <t>Rays</t>
  </si>
  <si>
    <t>Sandeels</t>
  </si>
  <si>
    <t>Sea bass</t>
  </si>
  <si>
    <t>Sessile epifauna</t>
  </si>
  <si>
    <t>Sharks</t>
  </si>
  <si>
    <t>Sole (adult)</t>
  </si>
  <si>
    <t>Sprat</t>
  </si>
  <si>
    <t>Squid &amp; cuttlefish</t>
  </si>
  <si>
    <t>Whiting (adult)</t>
  </si>
  <si>
    <t>Year</t>
  </si>
  <si>
    <t>Country</t>
  </si>
  <si>
    <t>Species</t>
  </si>
  <si>
    <t>Belgium</t>
  </si>
  <si>
    <t>Atlantic halibut</t>
  </si>
  <si>
    <t>Brill</t>
  </si>
  <si>
    <t>European flounder</t>
  </si>
  <si>
    <t>Lemon sole</t>
  </si>
  <si>
    <t>Megrim</t>
  </si>
  <si>
    <t>Megrims nei</t>
  </si>
  <si>
    <t>Turbot</t>
  </si>
  <si>
    <t>Witch flounder</t>
  </si>
  <si>
    <t>Denmark</t>
  </si>
  <si>
    <t>France</t>
  </si>
  <si>
    <t>Flatfishes nei</t>
  </si>
  <si>
    <t>Sand sole</t>
  </si>
  <si>
    <t>Thickback sole</t>
  </si>
  <si>
    <t>Thickback soles</t>
  </si>
  <si>
    <t>Germany</t>
  </si>
  <si>
    <t>Amer. plaice(=Long rough dab)</t>
  </si>
  <si>
    <t>Lefteye flounders nei</t>
  </si>
  <si>
    <t>Germany, Fed. Rep. of</t>
  </si>
  <si>
    <t>Netherlands</t>
  </si>
  <si>
    <t>Norway</t>
  </si>
  <si>
    <t>Righteye flounders nei</t>
  </si>
  <si>
    <t>Spain</t>
  </si>
  <si>
    <t>Sweden</t>
  </si>
  <si>
    <t>UK - Eng+Wales+N.Irl.</t>
  </si>
  <si>
    <t>UK - England &amp; Wales</t>
  </si>
  <si>
    <t>UK - Scotland</t>
  </si>
  <si>
    <t>Un. Sov. Soc. Rep.</t>
  </si>
  <si>
    <t>Netherlands catch</t>
  </si>
  <si>
    <t>Total catch</t>
  </si>
  <si>
    <t>Netherlands catch %</t>
  </si>
  <si>
    <t>Gadiformes nei</t>
  </si>
  <si>
    <t>Haddock</t>
  </si>
  <si>
    <t>Pollack</t>
  </si>
  <si>
    <t>Pouting(=Bib)</t>
  </si>
  <si>
    <t>Saithe(=Pollock)</t>
  </si>
  <si>
    <t>Norway pout</t>
  </si>
  <si>
    <t>Faeroe Islands</t>
  </si>
  <si>
    <t>Artic cod</t>
  </si>
  <si>
    <t>Blue whiting(=Poutassou)</t>
  </si>
  <si>
    <t>Poland</t>
  </si>
  <si>
    <t>Rocklings nei</t>
  </si>
  <si>
    <t>NL %</t>
  </si>
  <si>
    <t>Clupeoids nei</t>
  </si>
  <si>
    <t>European pilchard(=Sardine)</t>
  </si>
  <si>
    <t>Pelagic percomorphs nei</t>
  </si>
  <si>
    <t>European smelt</t>
  </si>
  <si>
    <t>Marine fishes nei</t>
  </si>
  <si>
    <t>European anchovy</t>
  </si>
  <si>
    <t>Mugil spp</t>
  </si>
  <si>
    <t>Shads nei</t>
  </si>
  <si>
    <t>Sand smelt</t>
  </si>
  <si>
    <t>Sardinellas nei</t>
  </si>
  <si>
    <t>Silversides(=Sand smelts) nei</t>
  </si>
  <si>
    <t>Argentines</t>
  </si>
  <si>
    <t>Pelagic fishes nei</t>
  </si>
  <si>
    <t>Common dab</t>
  </si>
  <si>
    <t>-</t>
  </si>
  <si>
    <t>.</t>
  </si>
  <si>
    <t>&lt;0.5</t>
  </si>
  <si>
    <t>Germany, Fed. Rep. of</t>
  </si>
  <si>
    <t>UK - Eng+Wales+N.Irl.</t>
  </si>
  <si>
    <t>UK - England &amp; Wales</t>
  </si>
  <si>
    <t>UK - Scotland</t>
  </si>
  <si>
    <t>Anglerfishes nei</t>
  </si>
  <si>
    <t>Atlantic redfishes nei</t>
  </si>
  <si>
    <t>Atlantic wolffish</t>
  </si>
  <si>
    <t>Angler(=Monk)</t>
  </si>
  <si>
    <t>Blackspot(=red) seabream</t>
  </si>
  <si>
    <t>Ballan wrasse</t>
  </si>
  <si>
    <t>Blue ling</t>
  </si>
  <si>
    <t>Boxlip mullet</t>
  </si>
  <si>
    <t>Atlantic searobins</t>
  </si>
  <si>
    <t>Allis and twaite shads</t>
  </si>
  <si>
    <t>Black scabbardfish</t>
  </si>
  <si>
    <t>Demersal percomorphs nei</t>
  </si>
  <si>
    <t>European conger</t>
  </si>
  <si>
    <t>European hake</t>
  </si>
  <si>
    <t>Finfishes nei</t>
  </si>
  <si>
    <t>Gurnards, searobins nei</t>
  </si>
  <si>
    <t>European eel</t>
  </si>
  <si>
    <t>European perch</t>
  </si>
  <si>
    <t>Golden redfish</t>
  </si>
  <si>
    <t>Gilthead seabream</t>
  </si>
  <si>
    <t>Greater weever</t>
  </si>
  <si>
    <t>Gurnards nei</t>
  </si>
  <si>
    <t>Freshwater bream</t>
  </si>
  <si>
    <t>Greater forkbeard</t>
  </si>
  <si>
    <t>Groundfishes nei</t>
  </si>
  <si>
    <t>Un. Sov. Soc. Rep.</t>
  </si>
  <si>
    <t>John dory</t>
  </si>
  <si>
    <t>Ling</t>
  </si>
  <si>
    <t>Monkfishes nei</t>
  </si>
  <si>
    <t>Porgies, seabreams nei</t>
  </si>
  <si>
    <t>Red gurnard</t>
  </si>
  <si>
    <t>Tub gurnard</t>
  </si>
  <si>
    <t>Lumpfish(=Lumpsucker)</t>
  </si>
  <si>
    <t>Mullets nei</t>
  </si>
  <si>
    <t>Sea trout</t>
  </si>
  <si>
    <t>Tusk(=Cusk)</t>
  </si>
  <si>
    <t>Twaite shad</t>
  </si>
  <si>
    <t>Wolffishes(=Catfishes) nei</t>
  </si>
  <si>
    <t>Ratfishes nei</t>
  </si>
  <si>
    <t>Scorpionfishes, rockfishes nei</t>
  </si>
  <si>
    <t>Streaked gurnard</t>
  </si>
  <si>
    <t>Thicklip grey mullet</t>
  </si>
  <si>
    <t>Wreckfish</t>
  </si>
  <si>
    <t>Surmullets(=Red mullets) nei</t>
  </si>
  <si>
    <t>Patagonian toothfish</t>
  </si>
  <si>
    <t>Demersal fish_R</t>
  </si>
  <si>
    <t>EwE_FG</t>
  </si>
  <si>
    <t>Grey gurnard</t>
  </si>
  <si>
    <t>Black seabream</t>
  </si>
  <si>
    <t>Wrasses, hogfishes, etc. nei</t>
  </si>
  <si>
    <t>Netherlands weird values:</t>
  </si>
  <si>
    <t>Landgins + discards aanpassen in Ecopath!</t>
  </si>
  <si>
    <t>Absolute</t>
  </si>
  <si>
    <t>per A</t>
  </si>
  <si>
    <t>Common cuttlefish</t>
  </si>
  <si>
    <t>Common squids nei</t>
  </si>
  <si>
    <t>Octopuses nei</t>
  </si>
  <si>
    <t>Cuttlefish,bobtail squids nei</t>
  </si>
  <si>
    <t>Northern shortfin squid</t>
  </si>
  <si>
    <t>Argentine shortfin squid</t>
  </si>
  <si>
    <t>Cephalopods nei</t>
  </si>
  <si>
    <t>Inshore squids nei</t>
  </si>
  <si>
    <t>Various squids nei</t>
  </si>
  <si>
    <t>European squid</t>
  </si>
  <si>
    <t>Octopuses, etc. nei</t>
  </si>
  <si>
    <t>Latin species name</t>
  </si>
  <si>
    <t>English</t>
  </si>
  <si>
    <t>DK</t>
  </si>
  <si>
    <t>Cephalopoda</t>
  </si>
  <si>
    <t>BE</t>
  </si>
  <si>
    <t>Sepia officinalis</t>
  </si>
  <si>
    <t>FR</t>
  </si>
  <si>
    <t>NL</t>
  </si>
  <si>
    <t>Sepiidae, Sepiolidae</t>
  </si>
  <si>
    <t>Cuttlefish, bobtail squids nei</t>
  </si>
  <si>
    <t>GB</t>
  </si>
  <si>
    <t>Eledone cirrosa</t>
  </si>
  <si>
    <t>Horned octopus</t>
  </si>
  <si>
    <t>Illex spp</t>
  </si>
  <si>
    <t>Shortfin squids nei</t>
  </si>
  <si>
    <t>Octopus vulgaris</t>
  </si>
  <si>
    <t>Common octopus</t>
  </si>
  <si>
    <t>Octopodidae</t>
  </si>
  <si>
    <t>Octopus spp</t>
  </si>
  <si>
    <t>Illex argentinus</t>
  </si>
  <si>
    <t>Loligo spp</t>
  </si>
  <si>
    <t>Todarodes sagittatus</t>
  </si>
  <si>
    <t>European flying squid</t>
  </si>
  <si>
    <t>NO</t>
  </si>
  <si>
    <t>Loligo forbesi</t>
  </si>
  <si>
    <t>Veined squid</t>
  </si>
  <si>
    <t>Illex illecebrosus</t>
  </si>
  <si>
    <t>Loligo pealeii</t>
  </si>
  <si>
    <t>Longfin squid</t>
  </si>
  <si>
    <t>Loligo vulgaris</t>
  </si>
  <si>
    <t>DE</t>
  </si>
  <si>
    <t>Martialia hyadesi</t>
  </si>
  <si>
    <t>Sevenstar flying squid</t>
  </si>
  <si>
    <t>Loliginidae, Ommastrephidae</t>
  </si>
  <si>
    <t>Loliginidae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</si>
</sst>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1" fontId="0" fillId="2" borderId="0" xfId="0" applyNumberFormat="1" applyFill="1" applyAlignment="1">
      <alignment horizontal="center"/>
    </xf>
    <xf numFmtId="1" fontId="0" fillId="2" borderId="0" xfId="0" applyNumberFormat="1" applyFill="1"/>
    <xf numFmtId="1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'Final time series total catch'!$E$2:$E$16</c:f>
              <c:strCache>
                <c:ptCount val="15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'Final time series total catch'!$E$17:$E$32</c:f>
              <c:numCache>
                <c:formatCode>General</c:formatCode>
                <c:ptCount val="16"/>
                <c:pt idx="0">
                  <c:v>1581.13</c:v>
                </c:pt>
                <c:pt idx="1">
                  <c:v>2221.14</c:v>
                </c:pt>
                <c:pt idx="2">
                  <c:v>2042.62</c:v>
                </c:pt>
                <c:pt idx="3">
                  <c:v>1840.09</c:v>
                </c:pt>
                <c:pt idx="4">
                  <c:v>829.23</c:v>
                </c:pt>
                <c:pt idx="5">
                  <c:v>1622.71</c:v>
                </c:pt>
                <c:pt idx="6">
                  <c:v>1379.61</c:v>
                </c:pt>
                <c:pt idx="7">
                  <c:v>1641.24</c:v>
                </c:pt>
                <c:pt idx="8">
                  <c:v>2290.39</c:v>
                </c:pt>
                <c:pt idx="9">
                  <c:v>2799.1</c:v>
                </c:pt>
                <c:pt idx="10">
                  <c:v>3557.72</c:v>
                </c:pt>
                <c:pt idx="11">
                  <c:v>2634.22</c:v>
                </c:pt>
                <c:pt idx="12">
                  <c:v>2119.4</c:v>
                </c:pt>
                <c:pt idx="13">
                  <c:v>2861.0023000000001</c:v>
                </c:pt>
                <c:pt idx="14">
                  <c:v>3167.9187999999999</c:v>
                </c:pt>
                <c:pt idx="15">
                  <c:v>2151.5857999999998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2-4519-A213-A06E30BB1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385808"/>
        <c:axId val="1141383888"/>
      </c:scatterChart>
      <c:valAx>
        <c:axId val="114138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83888"/>
        <c:crosses val="autoZero"/>
        <c:crossBetween val="midCat"/>
      </c:valAx>
      <c:valAx>
        <c:axId val="11413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8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'Data from R'!$Y$2:$Y$37</c:f>
              <c:numCache>
                <c:formatCode>General</c:formatCode>
                <c:ptCount val="36"/>
                <c:pt idx="0">
                  <c:v>193.5</c:v>
                </c:pt>
                <c:pt idx="1">
                  <c:v>309</c:v>
                </c:pt>
                <c:pt idx="2">
                  <c:v>608</c:v>
                </c:pt>
                <c:pt idx="3">
                  <c:v>574.5</c:v>
                </c:pt>
                <c:pt idx="4">
                  <c:v>784</c:v>
                </c:pt>
                <c:pt idx="5">
                  <c:v>450</c:v>
                </c:pt>
                <c:pt idx="6">
                  <c:v>245</c:v>
                </c:pt>
                <c:pt idx="7">
                  <c:v>311</c:v>
                </c:pt>
                <c:pt idx="8">
                  <c:v>105.5</c:v>
                </c:pt>
                <c:pt idx="9">
                  <c:v>1596</c:v>
                </c:pt>
                <c:pt idx="10">
                  <c:v>826.5</c:v>
                </c:pt>
                <c:pt idx="11">
                  <c:v>1700</c:v>
                </c:pt>
                <c:pt idx="12">
                  <c:v>1051</c:v>
                </c:pt>
                <c:pt idx="13">
                  <c:v>937</c:v>
                </c:pt>
                <c:pt idx="14">
                  <c:v>523</c:v>
                </c:pt>
                <c:pt idx="15">
                  <c:v>600.35</c:v>
                </c:pt>
                <c:pt idx="16">
                  <c:v>602.5</c:v>
                </c:pt>
                <c:pt idx="17">
                  <c:v>495.51</c:v>
                </c:pt>
                <c:pt idx="18">
                  <c:v>495.5</c:v>
                </c:pt>
                <c:pt idx="19">
                  <c:v>444.04</c:v>
                </c:pt>
                <c:pt idx="20">
                  <c:v>445</c:v>
                </c:pt>
                <c:pt idx="21">
                  <c:v>711.14</c:v>
                </c:pt>
                <c:pt idx="22">
                  <c:v>713</c:v>
                </c:pt>
                <c:pt idx="23">
                  <c:v>477.01</c:v>
                </c:pt>
                <c:pt idx="24">
                  <c:v>477</c:v>
                </c:pt>
                <c:pt idx="25">
                  <c:v>249.79</c:v>
                </c:pt>
                <c:pt idx="26">
                  <c:v>390.81</c:v>
                </c:pt>
                <c:pt idx="27">
                  <c:v>380.66</c:v>
                </c:pt>
                <c:pt idx="28">
                  <c:v>1182.1600000000001</c:v>
                </c:pt>
                <c:pt idx="29">
                  <c:v>491.85</c:v>
                </c:pt>
                <c:pt idx="30">
                  <c:v>1047.19</c:v>
                </c:pt>
                <c:pt idx="31">
                  <c:v>532.22</c:v>
                </c:pt>
                <c:pt idx="32">
                  <c:v>972.91700000000003</c:v>
                </c:pt>
                <c:pt idx="33">
                  <c:v>1772.1999000000001</c:v>
                </c:pt>
                <c:pt idx="34">
                  <c:v>1991.2710999999999</c:v>
                </c:pt>
                <c:pt idx="35">
                  <c:v>818.64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E-489B-B07E-E3D3DB2D5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974815"/>
        <c:axId val="1165970015"/>
      </c:scatterChart>
      <c:valAx>
        <c:axId val="116597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70015"/>
        <c:crosses val="autoZero"/>
        <c:crossBetween val="midCat"/>
      </c:valAx>
      <c:valAx>
        <c:axId val="11659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7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'Demersal fish'!$C$192:$V$192</c:f>
              <c:numCache>
                <c:formatCode>0</c:formatCode>
                <c:ptCount val="20"/>
                <c:pt idx="0" formatCode="@">
                  <c:v>874</c:v>
                </c:pt>
                <c:pt idx="1">
                  <c:v>789.5</c:v>
                </c:pt>
                <c:pt idx="2">
                  <c:v>1076</c:v>
                </c:pt>
                <c:pt idx="3">
                  <c:v>1366.5</c:v>
                </c:pt>
                <c:pt idx="4">
                  <c:v>1431.5</c:v>
                </c:pt>
                <c:pt idx="5">
                  <c:v>1477.5</c:v>
                </c:pt>
                <c:pt idx="6">
                  <c:v>1074.5</c:v>
                </c:pt>
                <c:pt idx="7">
                  <c:v>790.5</c:v>
                </c:pt>
                <c:pt idx="8">
                  <c:v>362</c:v>
                </c:pt>
                <c:pt idx="9">
                  <c:v>2208.5</c:v>
                </c:pt>
                <c:pt idx="10">
                  <c:v>3030.5</c:v>
                </c:pt>
                <c:pt idx="11">
                  <c:v>1846</c:v>
                </c:pt>
                <c:pt idx="12">
                  <c:v>1329.5</c:v>
                </c:pt>
                <c:pt idx="13">
                  <c:v>1482.5</c:v>
                </c:pt>
                <c:pt idx="14">
                  <c:v>1529</c:v>
                </c:pt>
                <c:pt idx="15">
                  <c:v>1399.5</c:v>
                </c:pt>
                <c:pt idx="16">
                  <c:v>1538.5</c:v>
                </c:pt>
                <c:pt idx="17">
                  <c:v>1283.5</c:v>
                </c:pt>
                <c:pt idx="18">
                  <c:v>1514</c:v>
                </c:pt>
                <c:pt idx="19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6-46BE-AA16-D97275C3E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18527"/>
        <c:axId val="352719007"/>
      </c:scatterChart>
      <c:valAx>
        <c:axId val="35271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19007"/>
        <c:crosses val="autoZero"/>
        <c:crossBetween val="midCat"/>
      </c:valAx>
      <c:valAx>
        <c:axId val="35271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71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'Demersal fish'!$C$209:$V$209</c:f>
              <c:numCache>
                <c:formatCode>General</c:formatCode>
                <c:ptCount val="20"/>
                <c:pt idx="0">
                  <c:v>2425.6798156137233</c:v>
                </c:pt>
                <c:pt idx="1">
                  <c:v>2191.1604284062182</c:v>
                </c:pt>
                <c:pt idx="2">
                  <c:v>2986.3060430210144</c:v>
                </c:pt>
                <c:pt idx="3">
                  <c:v>3792.5531670894202</c:v>
                </c:pt>
                <c:pt idx="4">
                  <c:v>3972.9526957105782</c:v>
                </c:pt>
                <c:pt idx="5">
                  <c:v>4100.6200544270896</c:v>
                </c:pt>
                <c:pt idx="6">
                  <c:v>2982.1429769759106</c:v>
                </c:pt>
                <c:pt idx="7">
                  <c:v>2193.9358057696204</c:v>
                </c:pt>
                <c:pt idx="8">
                  <c:v>1004.6866055516795</c:v>
                </c:pt>
                <c:pt idx="9" formatCode="0">
                  <c:v>2208.5</c:v>
                </c:pt>
                <c:pt idx="10" formatCode="0">
                  <c:v>3030.5</c:v>
                </c:pt>
                <c:pt idx="11" formatCode="0">
                  <c:v>1846</c:v>
                </c:pt>
                <c:pt idx="12" formatCode="0">
                  <c:v>1329.5</c:v>
                </c:pt>
                <c:pt idx="13" formatCode="0">
                  <c:v>1482.5</c:v>
                </c:pt>
                <c:pt idx="14" formatCode="0">
                  <c:v>1529</c:v>
                </c:pt>
                <c:pt idx="15" formatCode="0">
                  <c:v>1399.5</c:v>
                </c:pt>
                <c:pt idx="16" formatCode="0">
                  <c:v>1538.5</c:v>
                </c:pt>
                <c:pt idx="17" formatCode="0">
                  <c:v>1283.5</c:v>
                </c:pt>
                <c:pt idx="18" formatCode="0">
                  <c:v>1514</c:v>
                </c:pt>
                <c:pt idx="19" formatCode="0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B-4AFA-BD54-76CB5D2EC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11199"/>
        <c:axId val="600811679"/>
      </c:scatterChart>
      <c:valAx>
        <c:axId val="60081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1679"/>
        <c:crosses val="autoZero"/>
        <c:crossBetween val="midCat"/>
      </c:valAx>
      <c:valAx>
        <c:axId val="60081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1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'Demersal fish'!$B$216:$B$246</c:f>
              <c:numCache>
                <c:formatCode>General</c:formatCode>
                <c:ptCount val="31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</c:numCache>
            </c:numRef>
          </c:xVal>
          <c:yVal>
            <c:numRef>
              <c:f>'Demersal fish'!$C$216:$C$246</c:f>
              <c:numCache>
                <c:formatCode>General</c:formatCode>
                <c:ptCount val="31"/>
                <c:pt idx="0">
                  <c:v>2425.6798156137202</c:v>
                </c:pt>
                <c:pt idx="1">
                  <c:v>2191.1604284062182</c:v>
                </c:pt>
                <c:pt idx="2">
                  <c:v>2986.3060430210144</c:v>
                </c:pt>
                <c:pt idx="3">
                  <c:v>3792.5531670894202</c:v>
                </c:pt>
                <c:pt idx="4">
                  <c:v>3972.9526957105782</c:v>
                </c:pt>
                <c:pt idx="5">
                  <c:v>4100.6200544270896</c:v>
                </c:pt>
                <c:pt idx="6">
                  <c:v>2982.1429769759106</c:v>
                </c:pt>
                <c:pt idx="7">
                  <c:v>2193.9358057696204</c:v>
                </c:pt>
                <c:pt idx="8">
                  <c:v>1004.6866055516795</c:v>
                </c:pt>
                <c:pt idx="9">
                  <c:v>2208.5</c:v>
                </c:pt>
                <c:pt idx="10">
                  <c:v>3030.5</c:v>
                </c:pt>
                <c:pt idx="11">
                  <c:v>1846</c:v>
                </c:pt>
                <c:pt idx="12">
                  <c:v>1329.5</c:v>
                </c:pt>
                <c:pt idx="13">
                  <c:v>1482.5</c:v>
                </c:pt>
                <c:pt idx="14">
                  <c:v>1529</c:v>
                </c:pt>
                <c:pt idx="15">
                  <c:v>1581.13</c:v>
                </c:pt>
                <c:pt idx="16">
                  <c:v>2221.14</c:v>
                </c:pt>
                <c:pt idx="17">
                  <c:v>2042.62</c:v>
                </c:pt>
                <c:pt idx="18">
                  <c:v>1840.09</c:v>
                </c:pt>
                <c:pt idx="19">
                  <c:v>829.23</c:v>
                </c:pt>
                <c:pt idx="20">
                  <c:v>1622.71</c:v>
                </c:pt>
                <c:pt idx="21">
                  <c:v>1379.61</c:v>
                </c:pt>
                <c:pt idx="22">
                  <c:v>1641.24</c:v>
                </c:pt>
                <c:pt idx="23">
                  <c:v>2290.39</c:v>
                </c:pt>
                <c:pt idx="24">
                  <c:v>2799.1</c:v>
                </c:pt>
                <c:pt idx="25">
                  <c:v>3557.72</c:v>
                </c:pt>
                <c:pt idx="26">
                  <c:v>2634.22</c:v>
                </c:pt>
                <c:pt idx="27">
                  <c:v>2119.4</c:v>
                </c:pt>
                <c:pt idx="28">
                  <c:v>2861.0023000000001</c:v>
                </c:pt>
                <c:pt idx="29">
                  <c:v>3167.9187999999999</c:v>
                </c:pt>
                <c:pt idx="30">
                  <c:v>2151.5857999999998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1-41A0-8329-B5A6414E5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824895"/>
        <c:axId val="350396463"/>
      </c:scatterChart>
      <c:valAx>
        <c:axId val="99982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396463"/>
        <c:crosses val="autoZero"/>
        <c:crossBetween val="midCat"/>
      </c:valAx>
      <c:valAx>
        <c:axId val="3503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2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823179204464577E-2"/>
          <c:y val="5.2256532066508314E-2"/>
          <c:w val="0.9534680690021351"/>
          <c:h val="0.8375379205865299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'Squid&amp;cuttlefish'!$BG$72:$BV$72</c:f>
              <c:numCache>
                <c:formatCode>General</c:formatCode>
                <c:ptCount val="16"/>
                <c:pt idx="0">
                  <c:v>600.34999999999991</c:v>
                </c:pt>
                <c:pt idx="1">
                  <c:v>495.51</c:v>
                </c:pt>
                <c:pt idx="2">
                  <c:v>444.03999999999991</c:v>
                </c:pt>
                <c:pt idx="3">
                  <c:v>711.14</c:v>
                </c:pt>
                <c:pt idx="4">
                  <c:v>477.0100000000001</c:v>
                </c:pt>
                <c:pt idx="5">
                  <c:v>249.79</c:v>
                </c:pt>
                <c:pt idx="6">
                  <c:v>390.80999999999995</c:v>
                </c:pt>
                <c:pt idx="7">
                  <c:v>380.65999999999997</c:v>
                </c:pt>
                <c:pt idx="8">
                  <c:v>1182.1600000000001</c:v>
                </c:pt>
                <c:pt idx="9">
                  <c:v>491.85000000000014</c:v>
                </c:pt>
                <c:pt idx="10">
                  <c:v>1047.19</c:v>
                </c:pt>
                <c:pt idx="11">
                  <c:v>532.22</c:v>
                </c:pt>
                <c:pt idx="12">
                  <c:v>972.91699999999992</c:v>
                </c:pt>
                <c:pt idx="13">
                  <c:v>1772.1998999999998</c:v>
                </c:pt>
                <c:pt idx="14">
                  <c:v>1991.2710999999999</c:v>
                </c:pt>
                <c:pt idx="15">
                  <c:v>818.64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A-4B54-9DDF-9A3AA468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659967"/>
        <c:axId val="1668652287"/>
      </c:scatterChart>
      <c:valAx>
        <c:axId val="166865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52287"/>
        <c:crosses val="autoZero"/>
        <c:crossBetween val="midCat"/>
      </c:valAx>
      <c:valAx>
        <c:axId val="16686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65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13</xdr:row>
      <xdr:rowOff>171450</xdr:rowOff>
    </xdr:from>
    <xdr:to>
      <xdr:col>15</xdr:col>
      <xdr:colOff>228600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88A2C-D916-59C5-5FF8-4FC2BAF9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60441</xdr:colOff>
      <xdr:row>21</xdr:row>
      <xdr:rowOff>145818</xdr:rowOff>
    </xdr:from>
    <xdr:to>
      <xdr:col>36</xdr:col>
      <xdr:colOff>585355</xdr:colOff>
      <xdr:row>49</xdr:row>
      <xdr:rowOff>47279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2B057-0166-B61F-76FC-62A8B7F01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436418</xdr:colOff>
      <xdr:row>170</xdr:row>
      <xdr:rowOff>69273</xdr:rowOff>
    </xdr:from>
    <xdr:to>
      <xdr:col>31</xdr:col>
      <xdr:colOff>131618</xdr:colOff>
      <xdr:row>185</xdr:row>
      <xdr:rowOff>110836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7CA241-9620-2AEC-0460-F1288A5E8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413114</xdr:colOff>
      <xdr:row>169</xdr:row>
      <xdr:rowOff>22044</xdr:rowOff>
    </xdr:from>
    <xdr:to>
      <xdr:col>18</xdr:col>
      <xdr:colOff>96068</xdr:colOff>
      <xdr:row>184</xdr:row>
      <xdr:rowOff>98516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973F6D-3B73-7FC6-CC25-030F45C33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237308</xdr:colOff>
      <xdr:row>215</xdr:row>
      <xdr:rowOff>94431</xdr:rowOff>
    </xdr:from>
    <xdr:to>
      <xdr:col>21</xdr:col>
      <xdr:colOff>447403</xdr:colOff>
      <xdr:row>230</xdr:row>
      <xdr:rowOff>170905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D46866-FF8B-0F54-9875-EEFF3C32C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1371600</xdr:colOff>
      <xdr:row>72</xdr:row>
      <xdr:rowOff>44450</xdr:rowOff>
    </xdr:from>
    <xdr:to>
      <xdr:col>76</xdr:col>
      <xdr:colOff>304800</xdr:colOff>
      <xdr:row>87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EACD3-85CE-2450-B18F-8A83E36B8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1AC7-3917-476C-AA50-1A484F659B40}">
  <dimension ref="A1:X32"/>
  <sheetViews>
    <sheetView topLeftCell="B1" workbookViewId="0">
      <selection activeCell="V1" sqref="V1"/>
    </sheetView>
  </sheetViews>
  <sheetFormatPr defaultRowHeight="14.4" x14ac:dyDescent="0.3"/>
  <sheetData>
    <row r="1" spans="1:24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1991</v>
      </c>
      <c r="B2">
        <v>9133</v>
      </c>
      <c r="C2">
        <v>7873</v>
      </c>
      <c r="D2">
        <v>4282.3767720671212</v>
      </c>
      <c r="F2">
        <v>3731.5</v>
      </c>
      <c r="G2">
        <v>11864</v>
      </c>
      <c r="H2">
        <v>2440</v>
      </c>
      <c r="I2">
        <v>48747</v>
      </c>
      <c r="J2">
        <v>1714</v>
      </c>
      <c r="K2">
        <v>3849</v>
      </c>
      <c r="L2">
        <v>6532.5285271653238</v>
      </c>
      <c r="M2">
        <v>1691.5148641453015</v>
      </c>
      <c r="O2">
        <v>24604</v>
      </c>
      <c r="P2">
        <v>1229.5</v>
      </c>
      <c r="Q2">
        <v>2924</v>
      </c>
      <c r="R2">
        <v>62.5</v>
      </c>
      <c r="S2">
        <v>145</v>
      </c>
      <c r="T2">
        <v>594.5</v>
      </c>
      <c r="U2">
        <v>11256</v>
      </c>
      <c r="V2">
        <v>2771</v>
      </c>
      <c r="W2">
        <v>193.5</v>
      </c>
      <c r="X2">
        <v>8369</v>
      </c>
    </row>
    <row r="3" spans="1:24" x14ac:dyDescent="0.3">
      <c r="A3">
        <v>1992</v>
      </c>
      <c r="B3">
        <v>11288</v>
      </c>
      <c r="C3">
        <v>8599</v>
      </c>
      <c r="D3">
        <v>4042.1114086178104</v>
      </c>
      <c r="F3">
        <v>2497</v>
      </c>
      <c r="G3">
        <v>14380</v>
      </c>
      <c r="H3">
        <v>2630</v>
      </c>
      <c r="I3">
        <v>73123</v>
      </c>
      <c r="J3">
        <v>1183.5</v>
      </c>
      <c r="K3">
        <v>1127</v>
      </c>
      <c r="L3">
        <v>6414.3283728740334</v>
      </c>
      <c r="M3">
        <v>1530.1292996321558</v>
      </c>
      <c r="O3">
        <v>20699</v>
      </c>
      <c r="P3">
        <v>1473</v>
      </c>
      <c r="Q3">
        <v>5169</v>
      </c>
      <c r="R3">
        <v>53.5</v>
      </c>
      <c r="S3">
        <v>121</v>
      </c>
      <c r="T3">
        <v>692.5</v>
      </c>
      <c r="U3">
        <v>10722</v>
      </c>
      <c r="V3">
        <v>7225</v>
      </c>
      <c r="W3">
        <v>309</v>
      </c>
      <c r="X3">
        <v>7254</v>
      </c>
    </row>
    <row r="4" spans="1:24" x14ac:dyDescent="0.3">
      <c r="A4">
        <v>1993</v>
      </c>
      <c r="B4">
        <v>10778</v>
      </c>
      <c r="C4">
        <v>8632</v>
      </c>
      <c r="D4">
        <v>4557.9752772001539</v>
      </c>
      <c r="F4">
        <v>1321.5</v>
      </c>
      <c r="G4">
        <v>11441</v>
      </c>
      <c r="H4">
        <v>6473</v>
      </c>
      <c r="I4">
        <v>57392</v>
      </c>
      <c r="J4">
        <v>1139</v>
      </c>
      <c r="K4">
        <v>1627.5</v>
      </c>
      <c r="L4">
        <v>6773.4316987685252</v>
      </c>
      <c r="M4">
        <v>1541.0501273059776</v>
      </c>
      <c r="O4">
        <v>19083</v>
      </c>
      <c r="P4">
        <v>1698</v>
      </c>
      <c r="Q4">
        <v>10638</v>
      </c>
      <c r="R4">
        <v>65</v>
      </c>
      <c r="S4">
        <v>150</v>
      </c>
      <c r="T4">
        <v>383.5</v>
      </c>
      <c r="U4">
        <v>13836</v>
      </c>
      <c r="V4">
        <v>3261</v>
      </c>
      <c r="W4">
        <v>608</v>
      </c>
      <c r="X4">
        <v>7501</v>
      </c>
    </row>
    <row r="5" spans="1:24" x14ac:dyDescent="0.3">
      <c r="A5">
        <v>1994</v>
      </c>
      <c r="B5">
        <v>8217</v>
      </c>
      <c r="C5">
        <v>9947</v>
      </c>
      <c r="D5">
        <v>3293.0488049229016</v>
      </c>
      <c r="F5">
        <v>1174</v>
      </c>
      <c r="G5">
        <v>12559.5</v>
      </c>
      <c r="H5">
        <v>2994</v>
      </c>
      <c r="I5">
        <v>56637</v>
      </c>
      <c r="J5">
        <v>1663.5</v>
      </c>
      <c r="K5">
        <v>2102.5</v>
      </c>
      <c r="L5">
        <v>6675.4944280700274</v>
      </c>
      <c r="M5">
        <v>1253.4683318953346</v>
      </c>
      <c r="O5">
        <v>17507</v>
      </c>
      <c r="P5">
        <v>1700.5</v>
      </c>
      <c r="Q5">
        <v>2922</v>
      </c>
      <c r="R5">
        <v>159.5</v>
      </c>
      <c r="S5">
        <v>64</v>
      </c>
      <c r="T5">
        <v>351</v>
      </c>
      <c r="U5">
        <v>14076</v>
      </c>
      <c r="V5">
        <v>15000</v>
      </c>
      <c r="W5">
        <v>574.5</v>
      </c>
      <c r="X5">
        <v>7111</v>
      </c>
    </row>
    <row r="6" spans="1:24" x14ac:dyDescent="0.3">
      <c r="A6">
        <v>1995</v>
      </c>
      <c r="B6">
        <v>14705</v>
      </c>
      <c r="C6">
        <v>12988</v>
      </c>
      <c r="D6">
        <v>2869.0511047182363</v>
      </c>
      <c r="F6">
        <v>1013.5</v>
      </c>
      <c r="G6">
        <v>16043</v>
      </c>
      <c r="H6">
        <v>2558</v>
      </c>
      <c r="I6">
        <v>57711.5</v>
      </c>
      <c r="J6">
        <v>1720</v>
      </c>
      <c r="K6">
        <v>3737.5</v>
      </c>
      <c r="L6">
        <v>7308.1466824672207</v>
      </c>
      <c r="M6">
        <v>1361.4631833364622</v>
      </c>
      <c r="O6">
        <v>19227</v>
      </c>
      <c r="P6">
        <v>1554.5</v>
      </c>
      <c r="Q6">
        <v>4752</v>
      </c>
      <c r="R6">
        <v>260.5</v>
      </c>
      <c r="S6">
        <v>127</v>
      </c>
      <c r="T6">
        <v>590.5</v>
      </c>
      <c r="U6">
        <v>14469</v>
      </c>
      <c r="V6">
        <v>5461</v>
      </c>
      <c r="W6">
        <v>784</v>
      </c>
      <c r="X6">
        <v>7348.5</v>
      </c>
    </row>
    <row r="7" spans="1:24" x14ac:dyDescent="0.3">
      <c r="A7">
        <v>1996</v>
      </c>
      <c r="B7">
        <v>12296</v>
      </c>
      <c r="C7">
        <v>11185</v>
      </c>
      <c r="D7">
        <v>4536.7753921899202</v>
      </c>
      <c r="F7">
        <v>2526.5</v>
      </c>
      <c r="G7">
        <v>8533</v>
      </c>
      <c r="H7">
        <v>6177.5</v>
      </c>
      <c r="I7">
        <v>26506.5</v>
      </c>
      <c r="J7">
        <v>1656.5</v>
      </c>
      <c r="K7">
        <v>1665.5</v>
      </c>
      <c r="L7">
        <v>6582.0600203921504</v>
      </c>
      <c r="M7">
        <v>1520.4218972554254</v>
      </c>
      <c r="O7">
        <v>18293</v>
      </c>
      <c r="P7">
        <v>1299.5</v>
      </c>
      <c r="Q7">
        <v>1481</v>
      </c>
      <c r="R7">
        <v>136</v>
      </c>
      <c r="S7">
        <v>152</v>
      </c>
      <c r="T7">
        <v>367</v>
      </c>
      <c r="U7">
        <v>12418</v>
      </c>
      <c r="V7">
        <v>5101</v>
      </c>
      <c r="W7">
        <v>450</v>
      </c>
      <c r="X7">
        <v>6706</v>
      </c>
    </row>
    <row r="8" spans="1:24" x14ac:dyDescent="0.3">
      <c r="A8">
        <v>1997</v>
      </c>
      <c r="B8">
        <v>16031</v>
      </c>
      <c r="C8">
        <v>8425</v>
      </c>
      <c r="D8">
        <v>3653.4468500968674</v>
      </c>
      <c r="F8">
        <v>2184</v>
      </c>
      <c r="G8">
        <v>10943</v>
      </c>
      <c r="H8">
        <v>42258</v>
      </c>
      <c r="I8">
        <v>24076</v>
      </c>
      <c r="J8">
        <v>1494.5</v>
      </c>
      <c r="K8">
        <v>1766</v>
      </c>
      <c r="L8">
        <v>4446.5772328628345</v>
      </c>
      <c r="M8">
        <v>647.96910864676545</v>
      </c>
      <c r="O8">
        <v>16317</v>
      </c>
      <c r="P8">
        <v>1038</v>
      </c>
      <c r="Q8">
        <v>3163</v>
      </c>
      <c r="R8">
        <v>108</v>
      </c>
      <c r="S8">
        <v>109</v>
      </c>
      <c r="T8">
        <v>374</v>
      </c>
      <c r="U8">
        <v>8143</v>
      </c>
      <c r="V8">
        <v>8002</v>
      </c>
      <c r="W8">
        <v>245</v>
      </c>
      <c r="X8">
        <v>5059</v>
      </c>
    </row>
    <row r="9" spans="1:24" x14ac:dyDescent="0.3">
      <c r="A9">
        <v>1998</v>
      </c>
      <c r="B9">
        <v>20154</v>
      </c>
      <c r="C9">
        <v>7754</v>
      </c>
      <c r="D9">
        <v>5073</v>
      </c>
      <c r="F9">
        <v>945</v>
      </c>
      <c r="G9">
        <v>3459</v>
      </c>
      <c r="H9">
        <v>11214.5</v>
      </c>
      <c r="I9">
        <v>74932.5</v>
      </c>
      <c r="J9">
        <v>1534</v>
      </c>
      <c r="K9">
        <v>1686</v>
      </c>
      <c r="L9">
        <v>6844.5</v>
      </c>
      <c r="M9">
        <v>794.79356959481527</v>
      </c>
      <c r="O9">
        <v>15637.5</v>
      </c>
      <c r="P9">
        <v>1286.5</v>
      </c>
      <c r="Q9">
        <v>9674</v>
      </c>
      <c r="R9">
        <v>93</v>
      </c>
      <c r="S9">
        <v>104</v>
      </c>
      <c r="T9">
        <v>354</v>
      </c>
      <c r="U9">
        <v>10070</v>
      </c>
      <c r="V9">
        <v>27149</v>
      </c>
      <c r="W9">
        <v>311</v>
      </c>
      <c r="X9">
        <v>3608</v>
      </c>
    </row>
    <row r="10" spans="1:24" x14ac:dyDescent="0.3">
      <c r="A10">
        <v>1999</v>
      </c>
      <c r="B10">
        <v>11485</v>
      </c>
      <c r="C10">
        <v>11395</v>
      </c>
      <c r="D10">
        <v>4580</v>
      </c>
      <c r="F10">
        <v>4712</v>
      </c>
      <c r="G10">
        <v>4039</v>
      </c>
      <c r="H10">
        <v>9751</v>
      </c>
      <c r="I10">
        <v>60250.5</v>
      </c>
      <c r="J10">
        <v>1502</v>
      </c>
      <c r="K10">
        <v>567</v>
      </c>
      <c r="L10">
        <v>5051</v>
      </c>
      <c r="M10">
        <v>1429.4149999735762</v>
      </c>
      <c r="O10">
        <v>16349</v>
      </c>
      <c r="P10">
        <v>1104.5</v>
      </c>
      <c r="Q10">
        <v>10356</v>
      </c>
      <c r="R10">
        <v>85</v>
      </c>
      <c r="S10">
        <v>47</v>
      </c>
      <c r="T10">
        <v>254.5</v>
      </c>
      <c r="U10">
        <v>9550</v>
      </c>
      <c r="V10">
        <v>8715</v>
      </c>
      <c r="W10">
        <v>105.5</v>
      </c>
      <c r="X10">
        <v>1951</v>
      </c>
    </row>
    <row r="11" spans="1:24" x14ac:dyDescent="0.3">
      <c r="A11">
        <v>2000</v>
      </c>
      <c r="B11">
        <v>8561</v>
      </c>
      <c r="C11">
        <v>8120</v>
      </c>
      <c r="D11">
        <v>4768</v>
      </c>
      <c r="F11">
        <v>3042.5</v>
      </c>
      <c r="G11">
        <v>4942</v>
      </c>
      <c r="H11">
        <v>12464</v>
      </c>
      <c r="I11">
        <v>32539</v>
      </c>
      <c r="J11">
        <v>1815.5</v>
      </c>
      <c r="K11">
        <v>1066</v>
      </c>
      <c r="L11">
        <v>5671</v>
      </c>
      <c r="M11">
        <v>1161</v>
      </c>
      <c r="O11">
        <v>17670</v>
      </c>
      <c r="P11">
        <v>1194</v>
      </c>
      <c r="Q11">
        <v>11994.5</v>
      </c>
      <c r="R11">
        <v>159</v>
      </c>
      <c r="S11">
        <v>27</v>
      </c>
      <c r="T11">
        <v>357.5</v>
      </c>
      <c r="U11">
        <v>11115</v>
      </c>
      <c r="V11">
        <v>29619.5</v>
      </c>
      <c r="W11">
        <v>1596</v>
      </c>
      <c r="X11">
        <v>4043</v>
      </c>
    </row>
    <row r="12" spans="1:24" x14ac:dyDescent="0.3">
      <c r="A12">
        <v>2001</v>
      </c>
      <c r="B12">
        <v>4636</v>
      </c>
      <c r="C12">
        <v>12050</v>
      </c>
      <c r="D12">
        <v>4730</v>
      </c>
      <c r="F12">
        <v>2402</v>
      </c>
      <c r="G12">
        <v>3416</v>
      </c>
      <c r="H12">
        <v>5235</v>
      </c>
      <c r="I12">
        <v>16614</v>
      </c>
      <c r="J12">
        <v>1913</v>
      </c>
      <c r="K12">
        <v>1320</v>
      </c>
      <c r="L12">
        <v>5661</v>
      </c>
      <c r="M12">
        <v>1362</v>
      </c>
      <c r="O12">
        <v>17902</v>
      </c>
      <c r="P12">
        <v>1315.5</v>
      </c>
      <c r="Q12">
        <v>7177</v>
      </c>
      <c r="R12">
        <v>178</v>
      </c>
      <c r="S12">
        <v>25</v>
      </c>
      <c r="T12">
        <v>457.5</v>
      </c>
      <c r="U12">
        <v>11031</v>
      </c>
      <c r="V12">
        <v>32172</v>
      </c>
      <c r="W12">
        <v>826.5</v>
      </c>
      <c r="X12">
        <v>5759</v>
      </c>
    </row>
    <row r="13" spans="1:24" x14ac:dyDescent="0.3">
      <c r="A13">
        <v>2002</v>
      </c>
      <c r="B13">
        <v>7295</v>
      </c>
      <c r="C13">
        <v>7215</v>
      </c>
      <c r="D13">
        <v>4132</v>
      </c>
      <c r="F13">
        <v>3675.5</v>
      </c>
      <c r="G13">
        <v>7374</v>
      </c>
      <c r="H13">
        <v>9290</v>
      </c>
      <c r="I13">
        <v>12916</v>
      </c>
      <c r="J13">
        <v>2147</v>
      </c>
      <c r="K13">
        <v>1644</v>
      </c>
      <c r="L13">
        <v>6193.5</v>
      </c>
      <c r="M13">
        <v>1128</v>
      </c>
      <c r="O13">
        <v>17974</v>
      </c>
      <c r="P13">
        <v>1440</v>
      </c>
      <c r="Q13">
        <v>4996</v>
      </c>
      <c r="R13">
        <v>280</v>
      </c>
      <c r="S13">
        <v>15</v>
      </c>
      <c r="T13">
        <v>375</v>
      </c>
      <c r="U13">
        <v>10381</v>
      </c>
      <c r="V13">
        <v>15158</v>
      </c>
      <c r="W13">
        <v>1700</v>
      </c>
      <c r="X13">
        <v>5313</v>
      </c>
    </row>
    <row r="14" spans="1:24" x14ac:dyDescent="0.3">
      <c r="A14">
        <v>2003</v>
      </c>
      <c r="B14">
        <v>3722.5</v>
      </c>
      <c r="C14">
        <v>10042</v>
      </c>
      <c r="D14">
        <v>3717</v>
      </c>
      <c r="F14">
        <v>1843</v>
      </c>
      <c r="G14">
        <v>8158</v>
      </c>
      <c r="H14">
        <v>18301</v>
      </c>
      <c r="I14">
        <v>22663</v>
      </c>
      <c r="J14">
        <v>1992.5</v>
      </c>
      <c r="K14">
        <v>1612</v>
      </c>
      <c r="L14">
        <v>5508</v>
      </c>
      <c r="M14">
        <v>676</v>
      </c>
      <c r="O14">
        <v>15648</v>
      </c>
      <c r="P14">
        <v>1333.5</v>
      </c>
      <c r="Q14">
        <v>28806</v>
      </c>
      <c r="R14">
        <v>443</v>
      </c>
      <c r="S14">
        <v>21</v>
      </c>
      <c r="T14">
        <v>310.5</v>
      </c>
      <c r="U14">
        <v>12095</v>
      </c>
      <c r="V14">
        <v>24163</v>
      </c>
      <c r="W14">
        <v>1051</v>
      </c>
      <c r="X14">
        <v>3824.5</v>
      </c>
    </row>
    <row r="15" spans="1:24" x14ac:dyDescent="0.3">
      <c r="A15">
        <v>2004</v>
      </c>
      <c r="B15">
        <v>2203.5</v>
      </c>
      <c r="C15">
        <v>8730</v>
      </c>
      <c r="D15">
        <v>3650</v>
      </c>
      <c r="F15">
        <v>6163</v>
      </c>
      <c r="G15">
        <v>6757</v>
      </c>
      <c r="H15">
        <v>32971</v>
      </c>
      <c r="I15">
        <v>12646</v>
      </c>
      <c r="J15">
        <v>1759</v>
      </c>
      <c r="K15">
        <v>1112.5</v>
      </c>
      <c r="L15">
        <v>5653</v>
      </c>
      <c r="M15">
        <v>580</v>
      </c>
      <c r="O15">
        <v>14288</v>
      </c>
      <c r="P15">
        <v>1250</v>
      </c>
      <c r="Q15">
        <v>14243.5</v>
      </c>
      <c r="R15">
        <v>446</v>
      </c>
      <c r="S15">
        <v>22</v>
      </c>
      <c r="T15">
        <v>336.5</v>
      </c>
      <c r="U15">
        <v>12425</v>
      </c>
      <c r="V15">
        <v>18506</v>
      </c>
      <c r="W15">
        <v>937</v>
      </c>
      <c r="X15">
        <v>2476.5</v>
      </c>
    </row>
    <row r="16" spans="1:24" x14ac:dyDescent="0.3">
      <c r="A16">
        <v>2005</v>
      </c>
      <c r="B16">
        <v>1794</v>
      </c>
      <c r="C16">
        <v>9243</v>
      </c>
      <c r="D16">
        <v>3346</v>
      </c>
      <c r="F16">
        <v>2381</v>
      </c>
      <c r="G16">
        <v>6935</v>
      </c>
      <c r="H16">
        <v>28486</v>
      </c>
      <c r="I16">
        <v>12753</v>
      </c>
      <c r="J16">
        <v>887</v>
      </c>
      <c r="K16">
        <v>854</v>
      </c>
      <c r="L16">
        <v>5230</v>
      </c>
      <c r="M16">
        <v>466</v>
      </c>
      <c r="O16">
        <v>13519</v>
      </c>
      <c r="P16">
        <v>1157</v>
      </c>
      <c r="Q16">
        <v>22985</v>
      </c>
      <c r="R16">
        <v>552</v>
      </c>
      <c r="S16">
        <v>18</v>
      </c>
      <c r="T16">
        <v>392</v>
      </c>
      <c r="U16">
        <v>11188</v>
      </c>
      <c r="V16">
        <v>4426</v>
      </c>
      <c r="W16">
        <v>523</v>
      </c>
      <c r="X16">
        <v>1836</v>
      </c>
    </row>
    <row r="17" spans="1:24" x14ac:dyDescent="0.3">
      <c r="A17">
        <v>2006</v>
      </c>
      <c r="B17">
        <v>1783.6</v>
      </c>
      <c r="C17">
        <v>9944.6</v>
      </c>
      <c r="D17">
        <v>3019.2</v>
      </c>
      <c r="E17">
        <v>1581.13</v>
      </c>
      <c r="F17">
        <v>441.92</v>
      </c>
      <c r="G17">
        <v>5454.7</v>
      </c>
      <c r="H17">
        <v>23713.5</v>
      </c>
      <c r="I17">
        <v>11800</v>
      </c>
      <c r="J17">
        <v>1528.49</v>
      </c>
      <c r="K17">
        <v>250.2</v>
      </c>
      <c r="L17">
        <v>5526.69</v>
      </c>
      <c r="M17">
        <v>430.51</v>
      </c>
      <c r="N17">
        <v>710.74</v>
      </c>
      <c r="O17">
        <v>12957.4</v>
      </c>
      <c r="P17">
        <v>1146.9000000000001</v>
      </c>
      <c r="Q17">
        <v>10897.8</v>
      </c>
      <c r="R17">
        <v>550.79999999999995</v>
      </c>
      <c r="S17">
        <v>5</v>
      </c>
      <c r="T17">
        <v>380.76</v>
      </c>
      <c r="U17">
        <v>8879.5</v>
      </c>
      <c r="V17">
        <v>33614.410000000003</v>
      </c>
      <c r="W17">
        <v>600.35</v>
      </c>
      <c r="X17">
        <v>1727.8</v>
      </c>
    </row>
    <row r="18" spans="1:24" x14ac:dyDescent="0.3">
      <c r="A18">
        <v>2007</v>
      </c>
      <c r="B18">
        <v>1829</v>
      </c>
      <c r="C18">
        <v>9983.5</v>
      </c>
      <c r="D18">
        <v>4268.3</v>
      </c>
      <c r="E18">
        <v>2221.14</v>
      </c>
      <c r="F18">
        <v>466.3</v>
      </c>
      <c r="G18">
        <v>2396.3000000000002</v>
      </c>
      <c r="H18">
        <v>23324.61</v>
      </c>
      <c r="I18">
        <v>11661.5</v>
      </c>
      <c r="J18">
        <v>1350.05</v>
      </c>
      <c r="K18">
        <v>241.5</v>
      </c>
      <c r="L18">
        <v>4680.3599999999997</v>
      </c>
      <c r="M18">
        <v>378.29</v>
      </c>
      <c r="N18">
        <v>175.36</v>
      </c>
      <c r="O18">
        <v>10873.5</v>
      </c>
      <c r="P18">
        <v>1118.01</v>
      </c>
      <c r="Q18">
        <v>806.5</v>
      </c>
      <c r="R18">
        <v>543.9</v>
      </c>
      <c r="S18">
        <v>24.5</v>
      </c>
      <c r="T18">
        <v>398.66</v>
      </c>
      <c r="U18">
        <v>9163.6</v>
      </c>
      <c r="V18">
        <v>26202.6</v>
      </c>
      <c r="W18">
        <v>495.51</v>
      </c>
      <c r="X18">
        <v>1215.4100000000001</v>
      </c>
    </row>
    <row r="19" spans="1:24" x14ac:dyDescent="0.3">
      <c r="A19">
        <v>2008</v>
      </c>
      <c r="B19">
        <v>2628.11</v>
      </c>
      <c r="C19">
        <v>10857.5</v>
      </c>
      <c r="D19">
        <v>4342.5</v>
      </c>
      <c r="E19">
        <v>2042.62</v>
      </c>
      <c r="F19">
        <v>713.31</v>
      </c>
      <c r="G19">
        <v>1314.7</v>
      </c>
      <c r="H19">
        <v>12114.31</v>
      </c>
      <c r="I19">
        <v>14759</v>
      </c>
      <c r="J19">
        <v>1279.19</v>
      </c>
      <c r="K19">
        <v>255.31</v>
      </c>
      <c r="L19">
        <v>3879.21</v>
      </c>
      <c r="M19">
        <v>335</v>
      </c>
      <c r="N19">
        <v>644.04999999999995</v>
      </c>
      <c r="O19">
        <v>11260.01</v>
      </c>
      <c r="P19">
        <v>1126.26</v>
      </c>
      <c r="Q19">
        <v>1441.3</v>
      </c>
      <c r="R19">
        <v>547.52</v>
      </c>
      <c r="S19">
        <v>37</v>
      </c>
      <c r="T19">
        <v>378.07</v>
      </c>
      <c r="U19">
        <v>9110.81</v>
      </c>
      <c r="V19">
        <v>8983.4</v>
      </c>
      <c r="W19">
        <v>444.04</v>
      </c>
      <c r="X19">
        <v>1324.8</v>
      </c>
    </row>
    <row r="20" spans="1:24" x14ac:dyDescent="0.3">
      <c r="A20">
        <v>2009</v>
      </c>
      <c r="B20">
        <v>4121.2</v>
      </c>
      <c r="C20">
        <v>15384.8</v>
      </c>
      <c r="D20">
        <v>3842.9</v>
      </c>
      <c r="E20">
        <v>1840.09</v>
      </c>
      <c r="F20">
        <v>765.12</v>
      </c>
      <c r="G20">
        <v>3091.7</v>
      </c>
      <c r="H20">
        <v>10964.3</v>
      </c>
      <c r="I20">
        <v>3317.62</v>
      </c>
      <c r="J20">
        <v>731.67</v>
      </c>
      <c r="K20">
        <v>648.79999999999995</v>
      </c>
      <c r="L20">
        <v>4011.87</v>
      </c>
      <c r="M20">
        <v>546.97</v>
      </c>
      <c r="N20">
        <v>528.24</v>
      </c>
      <c r="O20">
        <v>13851.2</v>
      </c>
      <c r="P20">
        <v>979.74</v>
      </c>
      <c r="Q20">
        <v>760.1</v>
      </c>
      <c r="R20">
        <v>695.52</v>
      </c>
      <c r="S20">
        <v>89.7</v>
      </c>
      <c r="T20">
        <v>493.88</v>
      </c>
      <c r="U20">
        <v>9838.1</v>
      </c>
      <c r="V20">
        <v>11741.1</v>
      </c>
      <c r="W20">
        <v>711.14</v>
      </c>
      <c r="X20">
        <v>2528.9</v>
      </c>
    </row>
    <row r="21" spans="1:24" x14ac:dyDescent="0.3">
      <c r="A21">
        <v>2010</v>
      </c>
      <c r="B21">
        <v>3285</v>
      </c>
      <c r="C21">
        <v>15991.7</v>
      </c>
      <c r="D21">
        <v>3861.9</v>
      </c>
      <c r="E21">
        <v>829.23</v>
      </c>
      <c r="F21">
        <v>1165</v>
      </c>
      <c r="G21">
        <v>2293</v>
      </c>
      <c r="H21">
        <v>2380.4</v>
      </c>
      <c r="I21">
        <v>3783.4</v>
      </c>
      <c r="J21">
        <v>832.33</v>
      </c>
      <c r="K21">
        <v>718.31</v>
      </c>
      <c r="L21">
        <v>4345.32</v>
      </c>
      <c r="M21">
        <v>455.12</v>
      </c>
      <c r="N21">
        <v>542.91</v>
      </c>
      <c r="O21">
        <v>16109.9</v>
      </c>
      <c r="P21">
        <v>700.6</v>
      </c>
      <c r="Q21">
        <v>309</v>
      </c>
      <c r="R21">
        <v>732.5</v>
      </c>
      <c r="S21">
        <v>97.4</v>
      </c>
      <c r="T21">
        <v>562.02</v>
      </c>
      <c r="U21">
        <v>9052.5</v>
      </c>
      <c r="V21">
        <v>56602.04</v>
      </c>
      <c r="W21">
        <v>477.01</v>
      </c>
      <c r="X21">
        <v>2091.1</v>
      </c>
    </row>
    <row r="22" spans="1:24" x14ac:dyDescent="0.3">
      <c r="A22">
        <v>2011</v>
      </c>
      <c r="B22">
        <v>2095.2600000000002</v>
      </c>
      <c r="C22">
        <v>11072.51</v>
      </c>
      <c r="D22">
        <v>3030.89</v>
      </c>
      <c r="E22">
        <v>1622.71</v>
      </c>
      <c r="F22">
        <v>5416.65</v>
      </c>
      <c r="G22">
        <v>2986.75</v>
      </c>
      <c r="H22">
        <v>2151.04</v>
      </c>
      <c r="I22">
        <v>6174.38</v>
      </c>
      <c r="J22">
        <v>764.31</v>
      </c>
      <c r="K22">
        <v>614.58000000000004</v>
      </c>
      <c r="L22">
        <v>4521.5</v>
      </c>
      <c r="M22">
        <v>297.12</v>
      </c>
      <c r="N22">
        <v>241.39</v>
      </c>
      <c r="O22">
        <v>14743.28</v>
      </c>
      <c r="P22">
        <v>803.12</v>
      </c>
      <c r="Q22">
        <v>6566.49</v>
      </c>
      <c r="R22">
        <v>611.74</v>
      </c>
      <c r="S22">
        <v>205.5</v>
      </c>
      <c r="T22">
        <v>590.48</v>
      </c>
      <c r="U22">
        <v>8361.27</v>
      </c>
      <c r="V22">
        <v>35785.32</v>
      </c>
      <c r="W22">
        <v>249.79</v>
      </c>
      <c r="X22">
        <v>1335.31</v>
      </c>
    </row>
    <row r="23" spans="1:24" x14ac:dyDescent="0.3">
      <c r="A23">
        <v>2012</v>
      </c>
      <c r="B23">
        <v>1632.41</v>
      </c>
      <c r="C23">
        <v>11624.72</v>
      </c>
      <c r="D23">
        <v>2845.54</v>
      </c>
      <c r="E23">
        <v>1379.61</v>
      </c>
      <c r="F23">
        <v>2939.11</v>
      </c>
      <c r="G23">
        <v>3745.84</v>
      </c>
      <c r="H23">
        <v>1424.74</v>
      </c>
      <c r="I23">
        <v>4916.01</v>
      </c>
      <c r="J23">
        <v>701.21</v>
      </c>
      <c r="K23">
        <v>454.78</v>
      </c>
      <c r="L23">
        <v>3815.33</v>
      </c>
      <c r="M23">
        <v>233.95</v>
      </c>
      <c r="N23">
        <v>300.18</v>
      </c>
      <c r="O23">
        <v>11756.57</v>
      </c>
      <c r="P23">
        <v>876.11</v>
      </c>
      <c r="Q23">
        <v>3.28</v>
      </c>
      <c r="R23">
        <v>510.24</v>
      </c>
      <c r="S23">
        <v>70.099999999999994</v>
      </c>
      <c r="T23">
        <v>476.83</v>
      </c>
      <c r="U23">
        <v>9062.4500000000007</v>
      </c>
      <c r="V23">
        <v>9232.51</v>
      </c>
      <c r="W23">
        <v>390.81</v>
      </c>
      <c r="X23">
        <v>1096.3800000000001</v>
      </c>
    </row>
    <row r="24" spans="1:24" x14ac:dyDescent="0.3">
      <c r="A24">
        <v>2013</v>
      </c>
      <c r="B24">
        <v>1033.03</v>
      </c>
      <c r="C24">
        <v>16076.45</v>
      </c>
      <c r="D24">
        <v>2144.0300000000002</v>
      </c>
      <c r="E24">
        <v>1641.24</v>
      </c>
      <c r="F24">
        <v>3417.16</v>
      </c>
      <c r="G24">
        <v>2315.16</v>
      </c>
      <c r="H24">
        <v>943.32</v>
      </c>
      <c r="I24">
        <v>10888.81</v>
      </c>
      <c r="J24">
        <v>893.96</v>
      </c>
      <c r="K24">
        <v>761.09</v>
      </c>
      <c r="L24">
        <v>3444.27</v>
      </c>
      <c r="M24">
        <v>175.18</v>
      </c>
      <c r="N24">
        <v>291.43</v>
      </c>
      <c r="O24">
        <v>14523.24</v>
      </c>
      <c r="P24">
        <v>921.9</v>
      </c>
      <c r="Q24">
        <v>5899.63</v>
      </c>
      <c r="R24">
        <v>505.71</v>
      </c>
      <c r="S24">
        <v>74.28</v>
      </c>
      <c r="T24">
        <v>493.76</v>
      </c>
      <c r="U24">
        <v>10411.42</v>
      </c>
      <c r="V24">
        <v>20659.66</v>
      </c>
      <c r="W24">
        <v>380.66</v>
      </c>
      <c r="X24">
        <v>1007.67</v>
      </c>
    </row>
    <row r="25" spans="1:24" x14ac:dyDescent="0.3">
      <c r="A25">
        <v>2014</v>
      </c>
      <c r="B25">
        <v>1309.02</v>
      </c>
      <c r="C25">
        <v>18816.419999999998</v>
      </c>
      <c r="D25">
        <v>2153.6799999999998</v>
      </c>
      <c r="E25">
        <v>2290.39</v>
      </c>
      <c r="F25">
        <v>3390.3</v>
      </c>
      <c r="G25">
        <v>3171.45</v>
      </c>
      <c r="H25">
        <v>2281.23</v>
      </c>
      <c r="I25">
        <v>15128</v>
      </c>
      <c r="J25">
        <v>911.54</v>
      </c>
      <c r="K25">
        <v>510.74</v>
      </c>
      <c r="L25">
        <v>3541.32</v>
      </c>
      <c r="M25">
        <v>164.1</v>
      </c>
      <c r="N25">
        <v>277.36</v>
      </c>
      <c r="O25">
        <v>13675.89</v>
      </c>
      <c r="P25">
        <v>783.57</v>
      </c>
      <c r="Q25">
        <v>2.62</v>
      </c>
      <c r="R25">
        <v>494.79</v>
      </c>
      <c r="S25">
        <v>8.19</v>
      </c>
      <c r="T25">
        <v>557.29</v>
      </c>
      <c r="U25">
        <v>9679.25</v>
      </c>
      <c r="V25">
        <v>2657.49</v>
      </c>
      <c r="W25">
        <v>1182.1600000000001</v>
      </c>
      <c r="X25">
        <v>1113.6099999999999</v>
      </c>
    </row>
    <row r="26" spans="1:24" x14ac:dyDescent="0.3">
      <c r="A26">
        <v>2015</v>
      </c>
      <c r="B26">
        <v>1386.64</v>
      </c>
      <c r="C26">
        <v>14781.9</v>
      </c>
      <c r="D26">
        <v>2040.11</v>
      </c>
      <c r="E26">
        <v>2799.1</v>
      </c>
      <c r="F26">
        <v>3348.35</v>
      </c>
      <c r="G26">
        <v>967.2</v>
      </c>
      <c r="H26">
        <v>717.76</v>
      </c>
      <c r="I26">
        <v>16502.96</v>
      </c>
      <c r="J26">
        <v>892.8</v>
      </c>
      <c r="K26">
        <v>575.21</v>
      </c>
      <c r="L26">
        <v>3558.47</v>
      </c>
      <c r="M26">
        <v>212.86</v>
      </c>
      <c r="N26">
        <v>430.83</v>
      </c>
      <c r="O26">
        <v>10713.33</v>
      </c>
      <c r="P26">
        <v>660.25</v>
      </c>
      <c r="Q26">
        <v>5078.92</v>
      </c>
      <c r="R26">
        <v>309.33</v>
      </c>
      <c r="S26">
        <v>5.36</v>
      </c>
      <c r="T26">
        <v>666.32</v>
      </c>
      <c r="U26">
        <v>8851.2000000000007</v>
      </c>
      <c r="V26">
        <v>52697.27</v>
      </c>
      <c r="W26">
        <v>491.85</v>
      </c>
      <c r="X26">
        <v>1066.6500000000001</v>
      </c>
    </row>
    <row r="27" spans="1:24" x14ac:dyDescent="0.3">
      <c r="A27">
        <v>2016</v>
      </c>
      <c r="B27">
        <v>720.5</v>
      </c>
      <c r="C27">
        <v>16152.38</v>
      </c>
      <c r="D27">
        <v>1916.67</v>
      </c>
      <c r="E27">
        <v>3557.72</v>
      </c>
      <c r="F27">
        <v>3976.05</v>
      </c>
      <c r="G27">
        <v>3220.88</v>
      </c>
      <c r="H27">
        <v>791.99</v>
      </c>
      <c r="I27">
        <v>11116.69</v>
      </c>
      <c r="J27">
        <v>1010.18</v>
      </c>
      <c r="K27">
        <v>767.64</v>
      </c>
      <c r="L27">
        <v>3515.65</v>
      </c>
      <c r="M27">
        <v>317.72000000000003</v>
      </c>
      <c r="N27">
        <v>283.60000000000002</v>
      </c>
      <c r="O27">
        <v>10198.42</v>
      </c>
      <c r="P27">
        <v>627.20000000000005</v>
      </c>
      <c r="Q27">
        <v>2.58</v>
      </c>
      <c r="R27">
        <v>224.04</v>
      </c>
      <c r="S27">
        <v>45.43</v>
      </c>
      <c r="T27">
        <v>616.30999999999995</v>
      </c>
      <c r="U27">
        <v>8946.93</v>
      </c>
      <c r="V27">
        <v>28329.360000000001</v>
      </c>
      <c r="W27">
        <v>1047.19</v>
      </c>
      <c r="X27">
        <v>1976.45</v>
      </c>
    </row>
    <row r="28" spans="1:24" x14ac:dyDescent="0.3">
      <c r="A28">
        <v>2017</v>
      </c>
      <c r="B28">
        <v>204.09</v>
      </c>
      <c r="C28">
        <v>12128.08</v>
      </c>
      <c r="D28">
        <v>1069.31</v>
      </c>
      <c r="E28">
        <v>2634.22</v>
      </c>
      <c r="F28">
        <v>3692</v>
      </c>
      <c r="G28">
        <v>1861.89</v>
      </c>
      <c r="H28">
        <v>2445.61</v>
      </c>
      <c r="I28">
        <v>12646.67</v>
      </c>
      <c r="J28">
        <v>1181.94</v>
      </c>
      <c r="K28">
        <v>735.09</v>
      </c>
      <c r="L28">
        <v>2979.45</v>
      </c>
      <c r="M28">
        <v>405.93</v>
      </c>
      <c r="N28">
        <v>1240.43</v>
      </c>
      <c r="O28">
        <v>9818.6</v>
      </c>
      <c r="P28">
        <v>957.34</v>
      </c>
      <c r="Q28">
        <v>197</v>
      </c>
      <c r="R28">
        <v>183.59</v>
      </c>
      <c r="S28">
        <v>26.85</v>
      </c>
      <c r="T28">
        <v>496.84</v>
      </c>
      <c r="U28">
        <v>8981.7199999999993</v>
      </c>
      <c r="V28">
        <v>3313.85</v>
      </c>
      <c r="W28">
        <v>532.22</v>
      </c>
      <c r="X28">
        <v>1291.97</v>
      </c>
    </row>
    <row r="29" spans="1:24" x14ac:dyDescent="0.3">
      <c r="A29">
        <v>2018</v>
      </c>
      <c r="B29">
        <v>196.273</v>
      </c>
      <c r="C29">
        <v>22713.291000000001</v>
      </c>
      <c r="D29">
        <v>1136.865</v>
      </c>
      <c r="E29">
        <v>2119.4</v>
      </c>
      <c r="F29">
        <v>4154.4939999999997</v>
      </c>
      <c r="G29">
        <v>2270.6590000000001</v>
      </c>
      <c r="H29">
        <v>1182.1369999999999</v>
      </c>
      <c r="I29">
        <v>15285.245000000001</v>
      </c>
      <c r="J29">
        <v>1147.989</v>
      </c>
      <c r="K29">
        <v>822.61</v>
      </c>
      <c r="L29">
        <v>2911.1170000000002</v>
      </c>
      <c r="M29">
        <v>301.03800000000001</v>
      </c>
      <c r="N29">
        <v>207.376</v>
      </c>
      <c r="O29">
        <v>8624.1689999999999</v>
      </c>
      <c r="P29">
        <v>1028.5329999999999</v>
      </c>
      <c r="Q29">
        <v>158</v>
      </c>
      <c r="R29">
        <v>212.47300000000001</v>
      </c>
      <c r="S29">
        <v>21.331</v>
      </c>
      <c r="T29">
        <v>493.45</v>
      </c>
      <c r="U29">
        <v>8360.3230000000003</v>
      </c>
      <c r="V29">
        <v>7730.268</v>
      </c>
      <c r="W29">
        <v>972.91700000000003</v>
      </c>
      <c r="X29">
        <v>1288.7660000000001</v>
      </c>
    </row>
    <row r="30" spans="1:24" x14ac:dyDescent="0.3">
      <c r="A30">
        <v>2019</v>
      </c>
      <c r="B30">
        <v>91.148899999999998</v>
      </c>
      <c r="C30">
        <v>14665.218500000001</v>
      </c>
      <c r="D30">
        <v>1081.0944999999999</v>
      </c>
      <c r="E30">
        <v>2861.0023000000001</v>
      </c>
      <c r="F30">
        <v>5988.8734999999997</v>
      </c>
      <c r="G30">
        <v>1636.7158999999999</v>
      </c>
      <c r="H30">
        <v>1215.1714999999999</v>
      </c>
      <c r="I30">
        <v>18373.070500000002</v>
      </c>
      <c r="J30">
        <v>1279.7469000000001</v>
      </c>
      <c r="K30">
        <v>726.03279999999995</v>
      </c>
      <c r="L30">
        <v>2746.1685000000002</v>
      </c>
      <c r="M30">
        <v>248.9667</v>
      </c>
      <c r="N30">
        <v>102.5624</v>
      </c>
      <c r="O30">
        <v>6601.7646000000004</v>
      </c>
      <c r="P30">
        <v>913.05449999999996</v>
      </c>
      <c r="Q30">
        <v>1951.0119999999999</v>
      </c>
      <c r="R30">
        <v>237.92570000000001</v>
      </c>
      <c r="S30">
        <v>9.6940000000000008</v>
      </c>
      <c r="T30">
        <v>624.56330000000003</v>
      </c>
      <c r="U30">
        <v>6602.4427999999998</v>
      </c>
      <c r="V30">
        <v>9616.3732999999993</v>
      </c>
      <c r="W30">
        <v>1772.1999000000001</v>
      </c>
      <c r="X30">
        <v>1698.1917000000001</v>
      </c>
    </row>
    <row r="31" spans="1:24" x14ac:dyDescent="0.3">
      <c r="A31">
        <v>2020</v>
      </c>
      <c r="B31">
        <v>72.247600000000006</v>
      </c>
      <c r="C31">
        <v>15322.534799999999</v>
      </c>
      <c r="D31">
        <v>1192.9186</v>
      </c>
      <c r="E31">
        <v>3167.9187999999999</v>
      </c>
      <c r="F31">
        <v>6234.1655000000001</v>
      </c>
      <c r="G31">
        <v>3027.8044</v>
      </c>
      <c r="H31">
        <v>1054.01</v>
      </c>
      <c r="I31">
        <v>19515.287400000001</v>
      </c>
      <c r="J31">
        <v>1193.8541</v>
      </c>
      <c r="K31">
        <v>823.40530000000001</v>
      </c>
      <c r="L31">
        <v>2979.4423999999999</v>
      </c>
      <c r="M31">
        <v>188.65520000000001</v>
      </c>
      <c r="N31">
        <v>318.8603</v>
      </c>
      <c r="O31">
        <v>5442.4997999999996</v>
      </c>
      <c r="P31">
        <v>732.20860000000005</v>
      </c>
      <c r="Q31">
        <v>219.91739999999999</v>
      </c>
      <c r="R31">
        <v>281.54109999999997</v>
      </c>
      <c r="S31">
        <v>39.798900000000003</v>
      </c>
      <c r="T31">
        <v>461.90570000000002</v>
      </c>
      <c r="U31">
        <v>5547.9268000000002</v>
      </c>
      <c r="V31">
        <v>5075.3346000000001</v>
      </c>
      <c r="W31">
        <v>1991.2710999999999</v>
      </c>
      <c r="X31">
        <v>1503.2</v>
      </c>
    </row>
    <row r="32" spans="1:24" x14ac:dyDescent="0.3">
      <c r="A32">
        <v>2021</v>
      </c>
      <c r="B32">
        <v>52.167000000000002</v>
      </c>
      <c r="C32">
        <v>10657.299000000001</v>
      </c>
      <c r="D32">
        <v>732.49220000000003</v>
      </c>
      <c r="E32">
        <v>2151.5857999999998</v>
      </c>
      <c r="F32">
        <v>985.72699999999998</v>
      </c>
      <c r="G32">
        <v>9183.4568999999992</v>
      </c>
      <c r="H32">
        <v>1589.4719</v>
      </c>
      <c r="I32">
        <v>17621.347000000002</v>
      </c>
      <c r="J32">
        <v>143.303</v>
      </c>
      <c r="K32">
        <v>1024.7244000000001</v>
      </c>
      <c r="L32">
        <v>1279.1881000000001</v>
      </c>
      <c r="M32">
        <v>186.74180000000001</v>
      </c>
      <c r="N32">
        <v>1156.5286000000001</v>
      </c>
      <c r="O32">
        <v>4318.3193000000001</v>
      </c>
      <c r="P32">
        <v>660.25540000000001</v>
      </c>
      <c r="Q32">
        <v>4.7E-2</v>
      </c>
      <c r="R32">
        <v>281.29379999999998</v>
      </c>
      <c r="S32">
        <v>50.414999999999999</v>
      </c>
      <c r="T32">
        <v>405.13</v>
      </c>
      <c r="U32">
        <v>5473.9638999999997</v>
      </c>
      <c r="V32">
        <v>4137.8810000000003</v>
      </c>
      <c r="W32">
        <v>818.64</v>
      </c>
      <c r="X32">
        <v>1318.3036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1A29-6964-4863-A1F4-00FF8E1F1459}">
  <dimension ref="A1:V16"/>
  <sheetViews>
    <sheetView workbookViewId="0">
      <selection activeCell="B8" sqref="B8"/>
    </sheetView>
  </sheetViews>
  <sheetFormatPr defaultRowHeight="14.4" x14ac:dyDescent="0.3"/>
  <cols>
    <col min="2" max="2" width="11.88671875" bestFit="1" customWidth="1"/>
  </cols>
  <sheetData>
    <row r="1" spans="1:22" x14ac:dyDescent="0.3">
      <c r="A1" t="s">
        <v>25</v>
      </c>
      <c r="B1" t="s">
        <v>26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</row>
    <row r="2" spans="1:22" x14ac:dyDescent="0.3">
      <c r="A2" t="s">
        <v>27</v>
      </c>
      <c r="B2" t="s">
        <v>83</v>
      </c>
      <c r="C2">
        <v>249</v>
      </c>
      <c r="D2">
        <v>284</v>
      </c>
      <c r="E2">
        <v>326</v>
      </c>
      <c r="F2">
        <v>220</v>
      </c>
      <c r="G2">
        <v>185</v>
      </c>
      <c r="H2">
        <v>271</v>
      </c>
      <c r="I2">
        <v>190</v>
      </c>
      <c r="J2">
        <v>405</v>
      </c>
      <c r="K2">
        <v>444</v>
      </c>
      <c r="L2">
        <v>419</v>
      </c>
      <c r="M2">
        <v>347</v>
      </c>
      <c r="N2">
        <v>243</v>
      </c>
      <c r="O2">
        <v>208</v>
      </c>
      <c r="P2">
        <v>177</v>
      </c>
      <c r="Q2">
        <v>129</v>
      </c>
      <c r="R2">
        <v>125</v>
      </c>
      <c r="S2">
        <v>198</v>
      </c>
      <c r="T2">
        <v>253</v>
      </c>
      <c r="U2">
        <v>254</v>
      </c>
      <c r="V2">
        <v>244</v>
      </c>
    </row>
    <row r="3" spans="1:22" x14ac:dyDescent="0.3">
      <c r="A3" t="s">
        <v>36</v>
      </c>
      <c r="B3" t="s">
        <v>83</v>
      </c>
      <c r="C3">
        <v>13</v>
      </c>
      <c r="D3">
        <v>3</v>
      </c>
      <c r="E3">
        <v>5</v>
      </c>
      <c r="F3">
        <v>33</v>
      </c>
      <c r="G3">
        <v>8</v>
      </c>
      <c r="H3">
        <v>41</v>
      </c>
      <c r="I3">
        <v>35</v>
      </c>
      <c r="J3">
        <v>33</v>
      </c>
      <c r="K3">
        <v>25</v>
      </c>
      <c r="L3">
        <v>60</v>
      </c>
      <c r="M3">
        <v>75</v>
      </c>
      <c r="N3">
        <v>23</v>
      </c>
      <c r="O3">
        <v>4</v>
      </c>
      <c r="P3">
        <v>13</v>
      </c>
      <c r="Q3">
        <v>19</v>
      </c>
      <c r="R3">
        <v>37</v>
      </c>
      <c r="S3">
        <v>13</v>
      </c>
      <c r="T3">
        <v>22</v>
      </c>
      <c r="U3">
        <v>13</v>
      </c>
      <c r="V3">
        <v>18</v>
      </c>
    </row>
    <row r="4" spans="1:22" x14ac:dyDescent="0.3">
      <c r="A4" t="s">
        <v>37</v>
      </c>
      <c r="B4" t="s">
        <v>83</v>
      </c>
      <c r="C4">
        <v>246</v>
      </c>
      <c r="D4">
        <v>213</v>
      </c>
      <c r="E4">
        <v>231</v>
      </c>
      <c r="F4">
        <v>133</v>
      </c>
      <c r="G4">
        <v>155</v>
      </c>
      <c r="H4">
        <v>177</v>
      </c>
      <c r="I4">
        <v>122</v>
      </c>
      <c r="J4">
        <v>123</v>
      </c>
      <c r="K4" t="s">
        <v>85</v>
      </c>
      <c r="L4">
        <v>122</v>
      </c>
      <c r="M4">
        <v>201</v>
      </c>
      <c r="N4">
        <v>222</v>
      </c>
      <c r="O4">
        <v>149</v>
      </c>
      <c r="P4">
        <v>117</v>
      </c>
      <c r="Q4">
        <v>117</v>
      </c>
      <c r="R4">
        <v>96</v>
      </c>
      <c r="S4">
        <v>168</v>
      </c>
      <c r="T4">
        <v>142</v>
      </c>
      <c r="U4">
        <v>193</v>
      </c>
      <c r="V4">
        <v>163</v>
      </c>
    </row>
    <row r="5" spans="1:22" x14ac:dyDescent="0.3">
      <c r="A5" t="s">
        <v>42</v>
      </c>
      <c r="B5" t="s">
        <v>83</v>
      </c>
      <c r="C5" t="s">
        <v>84</v>
      </c>
      <c r="D5" t="s">
        <v>86</v>
      </c>
      <c r="E5">
        <v>29</v>
      </c>
      <c r="F5">
        <v>34</v>
      </c>
      <c r="G5" t="s">
        <v>84</v>
      </c>
      <c r="H5">
        <v>96</v>
      </c>
      <c r="I5">
        <v>115</v>
      </c>
      <c r="J5">
        <v>104</v>
      </c>
      <c r="K5">
        <v>55</v>
      </c>
      <c r="L5">
        <v>329</v>
      </c>
      <c r="M5">
        <v>290</v>
      </c>
      <c r="N5">
        <v>80</v>
      </c>
      <c r="O5">
        <v>83</v>
      </c>
      <c r="P5">
        <v>98</v>
      </c>
      <c r="Q5">
        <v>100</v>
      </c>
      <c r="R5">
        <v>121</v>
      </c>
      <c r="S5">
        <v>43</v>
      </c>
      <c r="T5">
        <v>17</v>
      </c>
      <c r="U5">
        <v>21</v>
      </c>
      <c r="V5">
        <v>27</v>
      </c>
    </row>
    <row r="6" spans="1:22" x14ac:dyDescent="0.3">
      <c r="A6" t="s">
        <v>87</v>
      </c>
      <c r="B6" t="s">
        <v>83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</row>
    <row r="7" spans="1:22" x14ac:dyDescent="0.3">
      <c r="A7" t="s">
        <v>46</v>
      </c>
      <c r="B7" t="s">
        <v>83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>
        <v>4362</v>
      </c>
      <c r="K7">
        <v>4020</v>
      </c>
      <c r="L7">
        <v>3810</v>
      </c>
      <c r="M7">
        <v>3788</v>
      </c>
      <c r="N7">
        <v>3540</v>
      </c>
      <c r="O7">
        <v>3224</v>
      </c>
      <c r="P7">
        <v>3192</v>
      </c>
      <c r="Q7">
        <v>2889</v>
      </c>
      <c r="R7">
        <v>2526</v>
      </c>
      <c r="S7">
        <v>3809</v>
      </c>
      <c r="T7">
        <v>3883</v>
      </c>
      <c r="U7">
        <v>3331</v>
      </c>
      <c r="V7">
        <v>3364</v>
      </c>
    </row>
    <row r="8" spans="1:22" x14ac:dyDescent="0.3">
      <c r="A8" t="s">
        <v>47</v>
      </c>
      <c r="B8" t="s">
        <v>83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>
        <v>3</v>
      </c>
      <c r="N8" t="s">
        <v>84</v>
      </c>
      <c r="O8" t="s">
        <v>86</v>
      </c>
      <c r="P8">
        <v>2</v>
      </c>
      <c r="Q8" t="s">
        <v>84</v>
      </c>
      <c r="R8">
        <v>12</v>
      </c>
      <c r="S8" t="s">
        <v>84</v>
      </c>
      <c r="T8" t="s">
        <v>84</v>
      </c>
      <c r="U8" t="s">
        <v>85</v>
      </c>
      <c r="V8" t="s">
        <v>85</v>
      </c>
    </row>
    <row r="9" spans="1:22" x14ac:dyDescent="0.3">
      <c r="A9" t="s">
        <v>88</v>
      </c>
      <c r="B9" t="s">
        <v>83</v>
      </c>
      <c r="C9">
        <v>97</v>
      </c>
      <c r="D9">
        <v>66</v>
      </c>
      <c r="E9">
        <v>46</v>
      </c>
      <c r="F9">
        <v>38</v>
      </c>
      <c r="G9">
        <v>34</v>
      </c>
      <c r="H9">
        <v>43</v>
      </c>
      <c r="I9">
        <v>35</v>
      </c>
      <c r="J9">
        <v>34</v>
      </c>
      <c r="K9">
        <v>29</v>
      </c>
      <c r="L9">
        <v>18</v>
      </c>
      <c r="M9">
        <v>20</v>
      </c>
      <c r="N9">
        <v>12</v>
      </c>
      <c r="O9">
        <v>23</v>
      </c>
      <c r="P9">
        <v>23</v>
      </c>
      <c r="Q9">
        <v>57</v>
      </c>
      <c r="R9">
        <v>64</v>
      </c>
      <c r="S9">
        <v>17</v>
      </c>
      <c r="T9">
        <v>23</v>
      </c>
      <c r="U9">
        <v>32</v>
      </c>
      <c r="V9">
        <v>45</v>
      </c>
    </row>
    <row r="10" spans="1:22" x14ac:dyDescent="0.3">
      <c r="A10" t="s">
        <v>89</v>
      </c>
      <c r="B10" t="s">
        <v>83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</row>
    <row r="11" spans="1:22" x14ac:dyDescent="0.3">
      <c r="A11" t="s">
        <v>90</v>
      </c>
      <c r="B11" t="s">
        <v>83</v>
      </c>
      <c r="C11">
        <v>1</v>
      </c>
      <c r="D11">
        <v>6</v>
      </c>
      <c r="E11">
        <v>8</v>
      </c>
      <c r="F11">
        <v>8</v>
      </c>
      <c r="G11">
        <v>24</v>
      </c>
      <c r="H11">
        <v>14</v>
      </c>
      <c r="I11">
        <v>20</v>
      </c>
      <c r="J11">
        <v>12</v>
      </c>
      <c r="K11">
        <v>7</v>
      </c>
      <c r="L11">
        <v>10</v>
      </c>
      <c r="M11">
        <v>6</v>
      </c>
      <c r="N11">
        <v>12</v>
      </c>
      <c r="O11">
        <v>26</v>
      </c>
      <c r="P11">
        <v>28</v>
      </c>
      <c r="Q11">
        <v>35</v>
      </c>
      <c r="R11">
        <v>38</v>
      </c>
      <c r="S11">
        <v>20</v>
      </c>
      <c r="T11">
        <v>3</v>
      </c>
      <c r="U11" t="s">
        <v>84</v>
      </c>
      <c r="V11">
        <v>1</v>
      </c>
    </row>
    <row r="13" spans="1:22" x14ac:dyDescent="0.3">
      <c r="A13" t="s">
        <v>56</v>
      </c>
      <c r="C13">
        <f>SUM(C2:C11)</f>
        <v>606</v>
      </c>
      <c r="D13">
        <f t="shared" ref="D13:V13" si="0">SUM(D2:D11)</f>
        <v>572</v>
      </c>
      <c r="E13">
        <f t="shared" si="0"/>
        <v>645</v>
      </c>
      <c r="F13">
        <f t="shared" si="0"/>
        <v>466</v>
      </c>
      <c r="G13">
        <f t="shared" si="0"/>
        <v>406</v>
      </c>
      <c r="H13">
        <f t="shared" si="0"/>
        <v>642</v>
      </c>
      <c r="I13">
        <f t="shared" si="0"/>
        <v>517</v>
      </c>
      <c r="J13">
        <f t="shared" si="0"/>
        <v>5073</v>
      </c>
      <c r="K13">
        <f t="shared" si="0"/>
        <v>4580</v>
      </c>
      <c r="L13">
        <f t="shared" si="0"/>
        <v>4768</v>
      </c>
      <c r="M13">
        <f t="shared" si="0"/>
        <v>4730</v>
      </c>
      <c r="N13">
        <f t="shared" si="0"/>
        <v>4132</v>
      </c>
      <c r="O13">
        <f t="shared" si="0"/>
        <v>3717</v>
      </c>
      <c r="P13">
        <f t="shared" si="0"/>
        <v>3650</v>
      </c>
      <c r="Q13">
        <f t="shared" si="0"/>
        <v>3346</v>
      </c>
      <c r="R13">
        <f t="shared" si="0"/>
        <v>3019</v>
      </c>
      <c r="S13">
        <f t="shared" si="0"/>
        <v>4268</v>
      </c>
      <c r="T13">
        <f t="shared" si="0"/>
        <v>4343</v>
      </c>
      <c r="U13">
        <f t="shared" si="0"/>
        <v>3844</v>
      </c>
      <c r="V13">
        <f t="shared" si="0"/>
        <v>3862</v>
      </c>
    </row>
    <row r="14" spans="1:22" x14ac:dyDescent="0.3">
      <c r="A14" t="s">
        <v>55</v>
      </c>
      <c r="J14">
        <f>J7/J13</f>
        <v>0.85984624482554706</v>
      </c>
      <c r="K14">
        <f t="shared" ref="K14:V14" si="1">K7/K13</f>
        <v>0.87772925764192145</v>
      </c>
      <c r="L14">
        <f t="shared" si="1"/>
        <v>0.79907718120805371</v>
      </c>
      <c r="M14">
        <f t="shared" si="1"/>
        <v>0.80084566596194506</v>
      </c>
      <c r="N14">
        <f t="shared" si="1"/>
        <v>0.85672797676669898</v>
      </c>
      <c r="O14">
        <f t="shared" si="1"/>
        <v>0.86736615550174867</v>
      </c>
      <c r="P14">
        <f t="shared" si="1"/>
        <v>0.87452054794520551</v>
      </c>
      <c r="Q14">
        <f t="shared" si="1"/>
        <v>0.8634190077704722</v>
      </c>
      <c r="R14">
        <f t="shared" si="1"/>
        <v>0.8367008943358728</v>
      </c>
      <c r="S14">
        <f t="shared" si="1"/>
        <v>0.89245548266166819</v>
      </c>
      <c r="T14">
        <f t="shared" si="1"/>
        <v>0.89408243149896383</v>
      </c>
      <c r="U14">
        <f t="shared" si="1"/>
        <v>0.86654526534859522</v>
      </c>
      <c r="V14">
        <f t="shared" si="1"/>
        <v>0.87105126877265671</v>
      </c>
    </row>
    <row r="15" spans="1:22" x14ac:dyDescent="0.3">
      <c r="A15" t="s">
        <v>57</v>
      </c>
      <c r="C15">
        <f>C13/(1-$B$16)</f>
        <v>4282.3767720671212</v>
      </c>
      <c r="D15">
        <f t="shared" ref="D15:I15" si="2">D13/(1-$B$16)</f>
        <v>4042.1114086178104</v>
      </c>
      <c r="E15">
        <f t="shared" si="2"/>
        <v>4557.9752772001539</v>
      </c>
      <c r="F15">
        <f t="shared" si="2"/>
        <v>3293.0488049229016</v>
      </c>
      <c r="G15">
        <f t="shared" si="2"/>
        <v>2869.0511047182363</v>
      </c>
      <c r="H15">
        <f t="shared" si="2"/>
        <v>4536.7753921899202</v>
      </c>
      <c r="I15">
        <f t="shared" si="2"/>
        <v>3653.4468500968674</v>
      </c>
    </row>
    <row r="16" spans="1:22" x14ac:dyDescent="0.3">
      <c r="B16">
        <f>AVERAGE(J14:V14)</f>
        <v>0.85848979847994988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F112-5AB0-4DF2-85B5-FFA60D903557}">
  <sheetPr filterMode="1"/>
  <dimension ref="A1:V106"/>
  <sheetViews>
    <sheetView workbookViewId="0">
      <selection activeCell="A94" sqref="A94:B97"/>
    </sheetView>
  </sheetViews>
  <sheetFormatPr defaultRowHeight="14.4" x14ac:dyDescent="0.3"/>
  <cols>
    <col min="2" max="2" width="26.109375" bestFit="1" customWidth="1"/>
  </cols>
  <sheetData>
    <row r="1" spans="1:22" x14ac:dyDescent="0.3">
      <c r="A1" t="s">
        <v>25</v>
      </c>
      <c r="B1" t="s">
        <v>26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</row>
    <row r="2" spans="1:22" hidden="1" x14ac:dyDescent="0.3">
      <c r="A2" t="s">
        <v>27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</v>
      </c>
      <c r="N2">
        <v>0.5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hidden="1" x14ac:dyDescent="0.3">
      <c r="A3" t="s">
        <v>27</v>
      </c>
      <c r="B3" t="s">
        <v>29</v>
      </c>
      <c r="C3">
        <v>94</v>
      </c>
      <c r="D3">
        <v>82</v>
      </c>
      <c r="E3">
        <v>107</v>
      </c>
      <c r="F3">
        <v>91</v>
      </c>
      <c r="G3">
        <v>93</v>
      </c>
      <c r="H3">
        <v>112</v>
      </c>
      <c r="I3">
        <v>58</v>
      </c>
      <c r="J3">
        <v>62</v>
      </c>
      <c r="K3">
        <v>70</v>
      </c>
      <c r="L3">
        <v>79</v>
      </c>
      <c r="M3">
        <v>105</v>
      </c>
      <c r="N3">
        <v>89</v>
      </c>
      <c r="O3">
        <v>91</v>
      </c>
      <c r="P3">
        <v>71</v>
      </c>
      <c r="Q3">
        <v>70</v>
      </c>
      <c r="R3">
        <v>58</v>
      </c>
      <c r="S3">
        <v>56</v>
      </c>
      <c r="T3">
        <v>79</v>
      </c>
      <c r="U3">
        <v>70</v>
      </c>
      <c r="V3">
        <v>63</v>
      </c>
    </row>
    <row r="4" spans="1:22" hidden="1" x14ac:dyDescent="0.3">
      <c r="A4" t="s">
        <v>27</v>
      </c>
      <c r="B4" t="s">
        <v>30</v>
      </c>
      <c r="C4">
        <v>254</v>
      </c>
      <c r="D4">
        <v>150</v>
      </c>
      <c r="E4">
        <v>192</v>
      </c>
      <c r="F4">
        <v>192</v>
      </c>
      <c r="G4">
        <v>246</v>
      </c>
      <c r="H4">
        <v>237</v>
      </c>
      <c r="I4">
        <v>108</v>
      </c>
      <c r="J4">
        <v>279</v>
      </c>
      <c r="K4">
        <v>319</v>
      </c>
      <c r="L4">
        <v>284</v>
      </c>
      <c r="M4">
        <v>225</v>
      </c>
      <c r="N4">
        <v>152</v>
      </c>
      <c r="O4">
        <v>203</v>
      </c>
      <c r="P4">
        <v>329</v>
      </c>
      <c r="Q4">
        <v>225</v>
      </c>
      <c r="R4">
        <v>152</v>
      </c>
      <c r="S4">
        <v>289</v>
      </c>
      <c r="T4">
        <v>280</v>
      </c>
      <c r="U4">
        <v>267</v>
      </c>
      <c r="V4">
        <v>247</v>
      </c>
    </row>
    <row r="5" spans="1:22" hidden="1" x14ac:dyDescent="0.3">
      <c r="A5" t="s">
        <v>27</v>
      </c>
      <c r="B5" t="s">
        <v>31</v>
      </c>
      <c r="C5">
        <v>84</v>
      </c>
      <c r="D5">
        <v>81</v>
      </c>
      <c r="E5">
        <v>95</v>
      </c>
      <c r="F5">
        <v>123</v>
      </c>
      <c r="G5">
        <v>248</v>
      </c>
      <c r="H5">
        <v>275</v>
      </c>
      <c r="I5">
        <v>128</v>
      </c>
      <c r="J5">
        <v>139</v>
      </c>
      <c r="K5">
        <v>108</v>
      </c>
      <c r="L5">
        <v>92</v>
      </c>
      <c r="M5">
        <v>159</v>
      </c>
      <c r="N5">
        <v>131</v>
      </c>
      <c r="O5">
        <v>114</v>
      </c>
      <c r="P5">
        <v>118</v>
      </c>
      <c r="Q5">
        <v>70</v>
      </c>
      <c r="R5">
        <v>50</v>
      </c>
      <c r="S5">
        <v>27</v>
      </c>
      <c r="T5">
        <v>97</v>
      </c>
      <c r="U5">
        <v>102</v>
      </c>
      <c r="V5">
        <v>43</v>
      </c>
    </row>
    <row r="6" spans="1:22" hidden="1" x14ac:dyDescent="0.3">
      <c r="A6" t="s">
        <v>27</v>
      </c>
      <c r="B6" t="s">
        <v>32</v>
      </c>
      <c r="C6">
        <v>1</v>
      </c>
      <c r="D6">
        <v>0</v>
      </c>
      <c r="E6">
        <v>1</v>
      </c>
      <c r="F6">
        <v>1</v>
      </c>
      <c r="G6">
        <v>1</v>
      </c>
      <c r="H6">
        <v>3</v>
      </c>
      <c r="I6">
        <v>1</v>
      </c>
      <c r="J6">
        <v>0</v>
      </c>
      <c r="K6">
        <v>0</v>
      </c>
      <c r="L6">
        <v>2</v>
      </c>
      <c r="M6">
        <v>0</v>
      </c>
      <c r="N6">
        <v>0</v>
      </c>
      <c r="O6">
        <v>0.5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hidden="1" x14ac:dyDescent="0.3">
      <c r="A7" t="s">
        <v>27</v>
      </c>
      <c r="B7" t="s">
        <v>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</row>
    <row r="8" spans="1:22" hidden="1" x14ac:dyDescent="0.3">
      <c r="A8" t="s">
        <v>27</v>
      </c>
      <c r="B8" t="s">
        <v>34</v>
      </c>
      <c r="C8">
        <v>93</v>
      </c>
      <c r="D8">
        <v>74</v>
      </c>
      <c r="E8">
        <v>84</v>
      </c>
      <c r="F8">
        <v>75</v>
      </c>
      <c r="G8">
        <v>83</v>
      </c>
      <c r="H8">
        <v>69</v>
      </c>
      <c r="I8">
        <v>37</v>
      </c>
      <c r="J8">
        <v>40</v>
      </c>
      <c r="K8">
        <v>58</v>
      </c>
      <c r="L8">
        <v>58</v>
      </c>
      <c r="M8">
        <v>75</v>
      </c>
      <c r="N8">
        <v>60</v>
      </c>
      <c r="O8">
        <v>66</v>
      </c>
      <c r="P8">
        <v>57</v>
      </c>
      <c r="Q8">
        <v>59</v>
      </c>
      <c r="R8">
        <v>50</v>
      </c>
      <c r="S8">
        <v>62</v>
      </c>
      <c r="T8">
        <v>86</v>
      </c>
      <c r="U8">
        <v>69</v>
      </c>
      <c r="V8">
        <v>49</v>
      </c>
    </row>
    <row r="9" spans="1:22" hidden="1" x14ac:dyDescent="0.3">
      <c r="A9" t="s">
        <v>27</v>
      </c>
      <c r="B9" t="s">
        <v>35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idden="1" x14ac:dyDescent="0.3">
      <c r="A10" t="s">
        <v>36</v>
      </c>
      <c r="B10" t="s">
        <v>28</v>
      </c>
      <c r="C10">
        <v>0.5</v>
      </c>
      <c r="D10">
        <v>0.5</v>
      </c>
      <c r="E10">
        <v>0</v>
      </c>
      <c r="F10">
        <v>0.5</v>
      </c>
      <c r="G10">
        <v>0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</v>
      </c>
      <c r="R10">
        <v>0.5</v>
      </c>
      <c r="S10">
        <v>0.5</v>
      </c>
      <c r="T10">
        <v>0</v>
      </c>
      <c r="U10">
        <v>0</v>
      </c>
      <c r="V10">
        <v>0</v>
      </c>
    </row>
    <row r="11" spans="1:22" hidden="1" x14ac:dyDescent="0.3">
      <c r="A11" t="s">
        <v>36</v>
      </c>
      <c r="B11" t="s">
        <v>29</v>
      </c>
      <c r="C11">
        <v>4</v>
      </c>
      <c r="D11">
        <v>1</v>
      </c>
      <c r="E11">
        <v>1</v>
      </c>
      <c r="F11">
        <v>3</v>
      </c>
      <c r="G11">
        <v>1</v>
      </c>
      <c r="H11">
        <v>5</v>
      </c>
      <c r="I11">
        <v>2</v>
      </c>
      <c r="J11">
        <v>4</v>
      </c>
      <c r="K11">
        <v>3</v>
      </c>
      <c r="L11">
        <v>3</v>
      </c>
      <c r="M11">
        <v>3</v>
      </c>
      <c r="N11">
        <v>1</v>
      </c>
      <c r="O11">
        <v>1</v>
      </c>
      <c r="P11">
        <v>4</v>
      </c>
      <c r="Q11">
        <v>5</v>
      </c>
      <c r="R11">
        <v>5</v>
      </c>
      <c r="S11">
        <v>1</v>
      </c>
      <c r="T11">
        <v>1</v>
      </c>
      <c r="U11">
        <v>2</v>
      </c>
      <c r="V11">
        <v>7</v>
      </c>
    </row>
    <row r="12" spans="1:22" hidden="1" x14ac:dyDescent="0.3">
      <c r="A12" t="s">
        <v>36</v>
      </c>
      <c r="B12" t="s">
        <v>30</v>
      </c>
      <c r="C12">
        <v>0.5</v>
      </c>
      <c r="D12">
        <v>0.5</v>
      </c>
      <c r="E12">
        <v>0</v>
      </c>
      <c r="F12">
        <v>0.5</v>
      </c>
      <c r="G12">
        <v>0.5</v>
      </c>
      <c r="H12">
        <v>3</v>
      </c>
      <c r="I12">
        <v>1</v>
      </c>
      <c r="J12">
        <v>0.5</v>
      </c>
      <c r="K12">
        <v>0.5</v>
      </c>
      <c r="L12">
        <v>4</v>
      </c>
      <c r="M12">
        <v>2</v>
      </c>
      <c r="N12">
        <v>1</v>
      </c>
      <c r="O12">
        <v>2</v>
      </c>
      <c r="P12">
        <v>4</v>
      </c>
      <c r="Q12">
        <v>13</v>
      </c>
      <c r="R12">
        <v>12</v>
      </c>
      <c r="S12">
        <v>8</v>
      </c>
      <c r="T12">
        <v>0.5</v>
      </c>
      <c r="U12">
        <v>1</v>
      </c>
      <c r="V12">
        <v>1</v>
      </c>
    </row>
    <row r="13" spans="1:22" hidden="1" x14ac:dyDescent="0.3">
      <c r="A13" t="s">
        <v>36</v>
      </c>
      <c r="B13" t="s">
        <v>31</v>
      </c>
      <c r="C13">
        <v>18</v>
      </c>
      <c r="D13">
        <v>11</v>
      </c>
      <c r="E13">
        <v>4</v>
      </c>
      <c r="F13">
        <v>2</v>
      </c>
      <c r="G13">
        <v>2</v>
      </c>
      <c r="H13">
        <v>5</v>
      </c>
      <c r="I13">
        <v>1</v>
      </c>
      <c r="J13">
        <v>0.5</v>
      </c>
      <c r="K13">
        <v>0.5</v>
      </c>
      <c r="L13">
        <v>0.5</v>
      </c>
      <c r="M13">
        <v>0.5</v>
      </c>
      <c r="N13">
        <v>0.5</v>
      </c>
      <c r="O13">
        <v>3</v>
      </c>
      <c r="P13">
        <v>1</v>
      </c>
      <c r="Q13">
        <v>0</v>
      </c>
      <c r="R13">
        <v>0.5</v>
      </c>
      <c r="S13">
        <v>2</v>
      </c>
      <c r="T13">
        <v>0.5</v>
      </c>
      <c r="U13">
        <v>4</v>
      </c>
      <c r="V13">
        <v>0</v>
      </c>
    </row>
    <row r="14" spans="1:22" hidden="1" x14ac:dyDescent="0.3">
      <c r="A14" t="s">
        <v>36</v>
      </c>
      <c r="B14" t="s">
        <v>32</v>
      </c>
      <c r="C14">
        <v>0</v>
      </c>
      <c r="D14">
        <v>0.5</v>
      </c>
      <c r="E14">
        <v>0</v>
      </c>
      <c r="F14">
        <v>0.5</v>
      </c>
      <c r="G14">
        <v>0.5</v>
      </c>
      <c r="H14">
        <v>0</v>
      </c>
      <c r="I14">
        <v>0.5</v>
      </c>
      <c r="J14">
        <v>0</v>
      </c>
      <c r="K14">
        <v>0.5</v>
      </c>
      <c r="L14">
        <v>0</v>
      </c>
      <c r="M14">
        <v>0.5</v>
      </c>
      <c r="N14">
        <v>0.5</v>
      </c>
      <c r="O14">
        <v>0</v>
      </c>
      <c r="P14">
        <v>0</v>
      </c>
      <c r="Q14">
        <v>0</v>
      </c>
      <c r="R14">
        <v>0</v>
      </c>
      <c r="S14">
        <v>0.5</v>
      </c>
      <c r="T14">
        <v>0</v>
      </c>
      <c r="U14">
        <v>0</v>
      </c>
      <c r="V14">
        <v>0</v>
      </c>
    </row>
    <row r="15" spans="1:22" hidden="1" x14ac:dyDescent="0.3">
      <c r="A15" t="s">
        <v>36</v>
      </c>
      <c r="B15" t="s">
        <v>34</v>
      </c>
      <c r="C15">
        <v>15</v>
      </c>
      <c r="D15">
        <v>14</v>
      </c>
      <c r="E15">
        <v>27</v>
      </c>
      <c r="F15">
        <v>17</v>
      </c>
      <c r="G15">
        <v>3</v>
      </c>
      <c r="H15">
        <v>18</v>
      </c>
      <c r="I15">
        <v>10</v>
      </c>
      <c r="J15">
        <v>8</v>
      </c>
      <c r="K15">
        <v>4</v>
      </c>
      <c r="L15">
        <v>6</v>
      </c>
      <c r="M15">
        <v>3</v>
      </c>
      <c r="N15">
        <v>2</v>
      </c>
      <c r="O15">
        <v>2</v>
      </c>
      <c r="P15">
        <v>3</v>
      </c>
      <c r="Q15">
        <v>8</v>
      </c>
      <c r="R15">
        <v>7</v>
      </c>
      <c r="S15">
        <v>3</v>
      </c>
      <c r="T15">
        <v>3</v>
      </c>
      <c r="U15">
        <v>2</v>
      </c>
      <c r="V15">
        <v>7</v>
      </c>
    </row>
    <row r="16" spans="1:22" hidden="1" x14ac:dyDescent="0.3">
      <c r="A16" t="s">
        <v>36</v>
      </c>
      <c r="B16" t="s">
        <v>35</v>
      </c>
      <c r="C16">
        <v>0.5</v>
      </c>
      <c r="D16">
        <v>0.5</v>
      </c>
      <c r="E16">
        <v>0</v>
      </c>
      <c r="F16">
        <v>0.5</v>
      </c>
      <c r="G16">
        <v>0</v>
      </c>
      <c r="H16">
        <v>0.5</v>
      </c>
      <c r="I16">
        <v>0.5</v>
      </c>
      <c r="J16">
        <v>0.5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0.5</v>
      </c>
      <c r="Q16">
        <v>0</v>
      </c>
      <c r="R16">
        <v>0.5</v>
      </c>
      <c r="S16">
        <v>0</v>
      </c>
      <c r="T16">
        <v>0</v>
      </c>
      <c r="U16">
        <v>0</v>
      </c>
      <c r="V16">
        <v>0</v>
      </c>
    </row>
    <row r="17" spans="1:22" hidden="1" x14ac:dyDescent="0.3">
      <c r="A17" t="s">
        <v>37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</row>
    <row r="18" spans="1:22" hidden="1" x14ac:dyDescent="0.3">
      <c r="A18" t="s">
        <v>37</v>
      </c>
      <c r="B18" t="s">
        <v>29</v>
      </c>
      <c r="C18">
        <v>28</v>
      </c>
      <c r="D18">
        <v>34</v>
      </c>
      <c r="E18">
        <v>38</v>
      </c>
      <c r="F18">
        <v>28</v>
      </c>
      <c r="G18">
        <v>24</v>
      </c>
      <c r="H18">
        <v>15</v>
      </c>
      <c r="I18">
        <v>1</v>
      </c>
      <c r="J18">
        <v>11</v>
      </c>
      <c r="K18">
        <v>0</v>
      </c>
      <c r="L18">
        <v>16</v>
      </c>
      <c r="M18">
        <v>12</v>
      </c>
      <c r="N18">
        <v>10</v>
      </c>
      <c r="O18">
        <v>9</v>
      </c>
      <c r="P18">
        <v>7</v>
      </c>
      <c r="Q18">
        <v>7</v>
      </c>
      <c r="R18">
        <v>8</v>
      </c>
      <c r="S18">
        <v>11</v>
      </c>
      <c r="T18">
        <v>5</v>
      </c>
      <c r="U18">
        <v>8</v>
      </c>
      <c r="V18">
        <v>12</v>
      </c>
    </row>
    <row r="19" spans="1:22" hidden="1" x14ac:dyDescent="0.3">
      <c r="A19" t="s">
        <v>37</v>
      </c>
      <c r="B19" t="s">
        <v>30</v>
      </c>
      <c r="C19">
        <v>51</v>
      </c>
      <c r="D19">
        <v>35</v>
      </c>
      <c r="E19">
        <v>47</v>
      </c>
      <c r="F19">
        <v>57</v>
      </c>
      <c r="G19">
        <v>103</v>
      </c>
      <c r="H19">
        <v>68</v>
      </c>
      <c r="I19">
        <v>10</v>
      </c>
      <c r="J19">
        <v>40</v>
      </c>
      <c r="K19">
        <v>0</v>
      </c>
      <c r="L19">
        <v>46</v>
      </c>
      <c r="M19">
        <v>42</v>
      </c>
      <c r="N19">
        <v>51</v>
      </c>
      <c r="O19">
        <v>33</v>
      </c>
      <c r="P19">
        <v>46</v>
      </c>
      <c r="Q19">
        <v>17</v>
      </c>
      <c r="R19">
        <v>19</v>
      </c>
      <c r="S19">
        <v>35</v>
      </c>
      <c r="T19">
        <v>19</v>
      </c>
      <c r="U19">
        <v>38</v>
      </c>
      <c r="V19">
        <v>20</v>
      </c>
    </row>
    <row r="20" spans="1:22" hidden="1" x14ac:dyDescent="0.3">
      <c r="A20" t="s">
        <v>37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475</v>
      </c>
      <c r="M20">
        <v>422</v>
      </c>
      <c r="N20">
        <v>372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idden="1" x14ac:dyDescent="0.3">
      <c r="A21" t="s">
        <v>37</v>
      </c>
      <c r="B21" t="s">
        <v>31</v>
      </c>
      <c r="C21">
        <v>241</v>
      </c>
      <c r="D21">
        <v>171</v>
      </c>
      <c r="E21">
        <v>232</v>
      </c>
      <c r="F21">
        <v>435</v>
      </c>
      <c r="G21">
        <v>412</v>
      </c>
      <c r="H21">
        <v>533</v>
      </c>
      <c r="I21">
        <v>221</v>
      </c>
      <c r="J21">
        <v>190</v>
      </c>
      <c r="K21">
        <v>0</v>
      </c>
      <c r="L21">
        <v>182</v>
      </c>
      <c r="M21">
        <v>189</v>
      </c>
      <c r="N21">
        <v>186</v>
      </c>
      <c r="O21">
        <v>230</v>
      </c>
      <c r="P21">
        <v>116</v>
      </c>
      <c r="Q21">
        <v>99</v>
      </c>
      <c r="R21">
        <v>39</v>
      </c>
      <c r="S21">
        <v>33</v>
      </c>
      <c r="T21">
        <v>22</v>
      </c>
      <c r="U21">
        <v>84</v>
      </c>
      <c r="V21">
        <v>24</v>
      </c>
    </row>
    <row r="22" spans="1:22" hidden="1" x14ac:dyDescent="0.3">
      <c r="A22" t="s">
        <v>37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hidden="1" x14ac:dyDescent="0.3">
      <c r="A23" t="s">
        <v>37</v>
      </c>
      <c r="B23" t="s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hidden="1" x14ac:dyDescent="0.3">
      <c r="A24" t="s">
        <v>37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0.5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</row>
    <row r="25" spans="1:22" hidden="1" x14ac:dyDescent="0.3">
      <c r="A25" t="s">
        <v>37</v>
      </c>
      <c r="B25" t="s">
        <v>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</v>
      </c>
      <c r="T25">
        <v>1</v>
      </c>
      <c r="U25">
        <v>1</v>
      </c>
      <c r="V25">
        <v>4</v>
      </c>
    </row>
    <row r="26" spans="1:22" hidden="1" x14ac:dyDescent="0.3">
      <c r="A26" t="s">
        <v>37</v>
      </c>
      <c r="B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0</v>
      </c>
      <c r="J26">
        <v>2</v>
      </c>
      <c r="K26">
        <v>0</v>
      </c>
      <c r="L26">
        <v>1</v>
      </c>
      <c r="M26">
        <v>0.5</v>
      </c>
      <c r="N26">
        <v>3</v>
      </c>
      <c r="O26">
        <v>2</v>
      </c>
      <c r="P26">
        <v>4</v>
      </c>
      <c r="Q26">
        <v>5</v>
      </c>
      <c r="R26">
        <v>2</v>
      </c>
      <c r="S26">
        <v>0</v>
      </c>
      <c r="T26">
        <v>0</v>
      </c>
      <c r="U26">
        <v>0</v>
      </c>
      <c r="V26">
        <v>0</v>
      </c>
    </row>
    <row r="27" spans="1:22" hidden="1" x14ac:dyDescent="0.3">
      <c r="A27" t="s">
        <v>37</v>
      </c>
      <c r="B27" t="s">
        <v>34</v>
      </c>
      <c r="C27">
        <v>64</v>
      </c>
      <c r="D27">
        <v>81</v>
      </c>
      <c r="E27">
        <v>123</v>
      </c>
      <c r="F27">
        <v>141</v>
      </c>
      <c r="G27">
        <v>108</v>
      </c>
      <c r="H27">
        <v>160</v>
      </c>
      <c r="I27">
        <v>1</v>
      </c>
      <c r="J27">
        <v>22</v>
      </c>
      <c r="K27">
        <v>0</v>
      </c>
      <c r="L27">
        <v>21</v>
      </c>
      <c r="M27">
        <v>17</v>
      </c>
      <c r="N27">
        <v>15</v>
      </c>
      <c r="O27">
        <v>18</v>
      </c>
      <c r="P27">
        <v>15</v>
      </c>
      <c r="Q27">
        <v>18</v>
      </c>
      <c r="R27">
        <v>22</v>
      </c>
      <c r="S27">
        <v>31</v>
      </c>
      <c r="T27">
        <v>21</v>
      </c>
      <c r="U27">
        <v>24</v>
      </c>
      <c r="V27">
        <v>37</v>
      </c>
    </row>
    <row r="28" spans="1:22" hidden="1" x14ac:dyDescent="0.3">
      <c r="A28" t="s">
        <v>42</v>
      </c>
      <c r="B28" t="s">
        <v>43</v>
      </c>
      <c r="C28">
        <v>0</v>
      </c>
      <c r="D28">
        <v>0</v>
      </c>
      <c r="E28">
        <v>0</v>
      </c>
      <c r="F28">
        <v>0</v>
      </c>
      <c r="G28">
        <v>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hidden="1" x14ac:dyDescent="0.3">
      <c r="A29" t="s">
        <v>42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0.5</v>
      </c>
      <c r="H29">
        <v>0.5</v>
      </c>
      <c r="I29">
        <v>0.5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hidden="1" x14ac:dyDescent="0.3">
      <c r="A30" t="s">
        <v>42</v>
      </c>
      <c r="B30" t="s">
        <v>29</v>
      </c>
      <c r="C30">
        <v>0</v>
      </c>
      <c r="D30">
        <v>0</v>
      </c>
      <c r="E30">
        <v>4</v>
      </c>
      <c r="F30">
        <v>8</v>
      </c>
      <c r="G30">
        <v>5</v>
      </c>
      <c r="H30">
        <v>6</v>
      </c>
      <c r="I30">
        <v>12</v>
      </c>
      <c r="J30">
        <v>7</v>
      </c>
      <c r="K30">
        <v>5</v>
      </c>
      <c r="L30">
        <v>11</v>
      </c>
      <c r="M30">
        <v>17</v>
      </c>
      <c r="N30">
        <v>12</v>
      </c>
      <c r="O30">
        <v>11</v>
      </c>
      <c r="P30">
        <v>15</v>
      </c>
      <c r="Q30">
        <v>10</v>
      </c>
      <c r="R30">
        <v>10</v>
      </c>
      <c r="S30">
        <v>3</v>
      </c>
      <c r="T30">
        <v>2</v>
      </c>
      <c r="U30">
        <v>4</v>
      </c>
      <c r="V30">
        <v>12</v>
      </c>
    </row>
    <row r="31" spans="1:22" hidden="1" x14ac:dyDescent="0.3">
      <c r="A31" t="s">
        <v>42</v>
      </c>
      <c r="B31" t="s">
        <v>30</v>
      </c>
      <c r="C31">
        <v>0</v>
      </c>
      <c r="D31">
        <v>0</v>
      </c>
      <c r="E31">
        <v>8</v>
      </c>
      <c r="F31">
        <v>19</v>
      </c>
      <c r="G31">
        <v>25</v>
      </c>
      <c r="H31">
        <v>0</v>
      </c>
      <c r="I31">
        <v>2</v>
      </c>
      <c r="J31">
        <v>4</v>
      </c>
      <c r="K31">
        <v>3</v>
      </c>
      <c r="L31">
        <v>10</v>
      </c>
      <c r="M31">
        <v>2</v>
      </c>
      <c r="N31">
        <v>0</v>
      </c>
      <c r="O31">
        <v>1</v>
      </c>
      <c r="P31">
        <v>0</v>
      </c>
      <c r="Q31">
        <v>0</v>
      </c>
      <c r="R31">
        <v>0</v>
      </c>
      <c r="S31">
        <v>9</v>
      </c>
      <c r="T31">
        <v>2</v>
      </c>
      <c r="U31">
        <v>3</v>
      </c>
      <c r="V31">
        <v>11</v>
      </c>
    </row>
    <row r="32" spans="1:22" hidden="1" x14ac:dyDescent="0.3">
      <c r="A32" t="s">
        <v>42</v>
      </c>
      <c r="B32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>
        <v>26</v>
      </c>
      <c r="I32">
        <v>96</v>
      </c>
      <c r="J32">
        <v>50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</row>
    <row r="33" spans="1:22" hidden="1" x14ac:dyDescent="0.3">
      <c r="A33" t="s">
        <v>42</v>
      </c>
      <c r="B33" t="s">
        <v>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22</v>
      </c>
      <c r="L33">
        <v>42</v>
      </c>
      <c r="M33">
        <v>27</v>
      </c>
      <c r="N33">
        <v>60</v>
      </c>
      <c r="O33">
        <v>25</v>
      </c>
      <c r="P33">
        <v>53</v>
      </c>
      <c r="Q33">
        <v>126</v>
      </c>
      <c r="R33">
        <v>165</v>
      </c>
      <c r="S33">
        <v>7</v>
      </c>
      <c r="T33">
        <v>0</v>
      </c>
      <c r="U33">
        <v>0</v>
      </c>
      <c r="V33">
        <v>0</v>
      </c>
    </row>
    <row r="34" spans="1:22" hidden="1" x14ac:dyDescent="0.3">
      <c r="A34" t="s">
        <v>42</v>
      </c>
      <c r="B34" t="s">
        <v>31</v>
      </c>
      <c r="C34">
        <v>0</v>
      </c>
      <c r="D34">
        <v>0</v>
      </c>
      <c r="E34">
        <v>0</v>
      </c>
      <c r="F34">
        <v>0</v>
      </c>
      <c r="G34">
        <v>1</v>
      </c>
      <c r="H34">
        <v>3</v>
      </c>
      <c r="I34">
        <v>2</v>
      </c>
      <c r="J34">
        <v>2</v>
      </c>
      <c r="K34">
        <v>1</v>
      </c>
      <c r="L34">
        <v>1</v>
      </c>
      <c r="M34">
        <v>2</v>
      </c>
      <c r="N34">
        <v>3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1</v>
      </c>
      <c r="V34">
        <v>1</v>
      </c>
    </row>
    <row r="35" spans="1:22" hidden="1" x14ac:dyDescent="0.3">
      <c r="A35" t="s">
        <v>42</v>
      </c>
      <c r="B35" t="s">
        <v>34</v>
      </c>
      <c r="C35">
        <v>0</v>
      </c>
      <c r="D35">
        <v>0</v>
      </c>
      <c r="E35">
        <v>10</v>
      </c>
      <c r="F35">
        <v>10</v>
      </c>
      <c r="G35">
        <v>14</v>
      </c>
      <c r="H35">
        <v>17</v>
      </c>
      <c r="I35">
        <v>17</v>
      </c>
      <c r="J35">
        <v>12</v>
      </c>
      <c r="K35">
        <v>7</v>
      </c>
      <c r="L35">
        <v>19</v>
      </c>
      <c r="M35">
        <v>24</v>
      </c>
      <c r="N35">
        <v>21</v>
      </c>
      <c r="O35">
        <v>18</v>
      </c>
      <c r="P35">
        <v>31</v>
      </c>
      <c r="Q35">
        <v>21</v>
      </c>
      <c r="R35">
        <v>26</v>
      </c>
      <c r="S35">
        <v>12</v>
      </c>
      <c r="T35">
        <v>5</v>
      </c>
      <c r="U35">
        <v>7</v>
      </c>
      <c r="V35">
        <v>10</v>
      </c>
    </row>
    <row r="36" spans="1:22" hidden="1" x14ac:dyDescent="0.3">
      <c r="A36" t="s">
        <v>42</v>
      </c>
      <c r="B36" t="s">
        <v>35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hidden="1" x14ac:dyDescent="0.3">
      <c r="A37" t="s">
        <v>45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hidden="1" x14ac:dyDescent="0.3">
      <c r="A38" t="s">
        <v>45</v>
      </c>
      <c r="B38" t="s">
        <v>29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hidden="1" x14ac:dyDescent="0.3">
      <c r="A39" t="s">
        <v>45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hidden="1" x14ac:dyDescent="0.3">
      <c r="A40" t="s">
        <v>45</v>
      </c>
      <c r="B40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hidden="1" x14ac:dyDescent="0.3">
      <c r="A41" t="s">
        <v>45</v>
      </c>
      <c r="B41" t="s">
        <v>31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hidden="1" x14ac:dyDescent="0.3">
      <c r="A42" t="s">
        <v>45</v>
      </c>
      <c r="B42" t="s">
        <v>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hidden="1" x14ac:dyDescent="0.3">
      <c r="A43" t="s">
        <v>45</v>
      </c>
      <c r="B43" t="s">
        <v>34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idden="1" x14ac:dyDescent="0.3">
      <c r="A44" t="s">
        <v>45</v>
      </c>
      <c r="B44" t="s">
        <v>35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t="s">
        <v>46</v>
      </c>
      <c r="B45" t="s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</row>
    <row r="46" spans="1:22" x14ac:dyDescent="0.3">
      <c r="A46" t="s">
        <v>46</v>
      </c>
      <c r="B46" t="s">
        <v>29</v>
      </c>
      <c r="C46">
        <v>607</v>
      </c>
      <c r="D46">
        <v>690</v>
      </c>
      <c r="E46">
        <v>834</v>
      </c>
      <c r="F46">
        <v>644</v>
      </c>
      <c r="G46">
        <v>598</v>
      </c>
      <c r="H46">
        <v>440</v>
      </c>
      <c r="I46">
        <v>323</v>
      </c>
      <c r="J46">
        <v>419</v>
      </c>
      <c r="K46">
        <v>472</v>
      </c>
      <c r="L46">
        <v>604</v>
      </c>
      <c r="M46">
        <v>725</v>
      </c>
      <c r="N46">
        <v>631</v>
      </c>
      <c r="O46">
        <v>625</v>
      </c>
      <c r="P46">
        <v>487</v>
      </c>
      <c r="Q46">
        <v>454</v>
      </c>
      <c r="R46">
        <v>471</v>
      </c>
      <c r="S46">
        <v>538</v>
      </c>
      <c r="T46">
        <v>413</v>
      </c>
      <c r="U46">
        <v>529</v>
      </c>
      <c r="V46">
        <v>728</v>
      </c>
    </row>
    <row r="47" spans="1:22" x14ac:dyDescent="0.3">
      <c r="A47" t="s">
        <v>46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4514</v>
      </c>
      <c r="K47">
        <v>2942</v>
      </c>
      <c r="L47">
        <v>2488</v>
      </c>
      <c r="M47">
        <v>2426</v>
      </c>
      <c r="N47">
        <v>3311</v>
      </c>
      <c r="O47">
        <v>2951</v>
      </c>
      <c r="P47">
        <v>3348</v>
      </c>
      <c r="Q47">
        <v>2854</v>
      </c>
      <c r="R47">
        <v>3271</v>
      </c>
      <c r="S47">
        <v>2383</v>
      </c>
      <c r="T47">
        <v>1861</v>
      </c>
      <c r="U47">
        <v>1811</v>
      </c>
      <c r="V47">
        <v>2225</v>
      </c>
    </row>
    <row r="48" spans="1:22" x14ac:dyDescent="0.3">
      <c r="A48" t="s">
        <v>46</v>
      </c>
      <c r="B48" t="s">
        <v>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 t="s">
        <v>46</v>
      </c>
      <c r="B49" t="s">
        <v>31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214</v>
      </c>
      <c r="K49">
        <v>150</v>
      </c>
      <c r="L49">
        <v>152</v>
      </c>
      <c r="M49">
        <v>212</v>
      </c>
      <c r="N49">
        <v>173</v>
      </c>
      <c r="O49">
        <v>139</v>
      </c>
      <c r="P49">
        <v>144</v>
      </c>
      <c r="Q49">
        <v>126</v>
      </c>
      <c r="R49">
        <v>97</v>
      </c>
      <c r="S49">
        <v>84</v>
      </c>
      <c r="T49">
        <v>158</v>
      </c>
      <c r="U49">
        <v>145</v>
      </c>
      <c r="V49">
        <v>113</v>
      </c>
    </row>
    <row r="50" spans="1:22" x14ac:dyDescent="0.3">
      <c r="A50" t="s">
        <v>46</v>
      </c>
      <c r="B50" t="s">
        <v>32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1</v>
      </c>
      <c r="L50">
        <v>2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46</v>
      </c>
      <c r="B51" t="s">
        <v>39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  <c r="P51">
        <v>3</v>
      </c>
      <c r="Q51">
        <v>5</v>
      </c>
      <c r="R51">
        <v>1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t="s">
        <v>46</v>
      </c>
      <c r="B52" t="s">
        <v>34</v>
      </c>
      <c r="C52">
        <v>1122</v>
      </c>
      <c r="D52">
        <v>1221</v>
      </c>
      <c r="E52">
        <v>990</v>
      </c>
      <c r="F52">
        <v>869</v>
      </c>
      <c r="G52">
        <v>908</v>
      </c>
      <c r="H52">
        <v>688</v>
      </c>
      <c r="I52">
        <v>631</v>
      </c>
      <c r="J52">
        <v>613</v>
      </c>
      <c r="K52">
        <v>740</v>
      </c>
      <c r="L52">
        <v>971</v>
      </c>
      <c r="M52">
        <v>890</v>
      </c>
      <c r="N52">
        <v>803</v>
      </c>
      <c r="O52">
        <v>813</v>
      </c>
      <c r="P52">
        <v>693</v>
      </c>
      <c r="Q52">
        <v>875</v>
      </c>
      <c r="R52">
        <v>781</v>
      </c>
      <c r="S52">
        <v>1010</v>
      </c>
      <c r="T52">
        <v>785</v>
      </c>
      <c r="U52">
        <v>768</v>
      </c>
      <c r="V52">
        <v>636</v>
      </c>
    </row>
    <row r="53" spans="1:22" x14ac:dyDescent="0.3">
      <c r="A53" t="s">
        <v>46</v>
      </c>
      <c r="B53" t="s">
        <v>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hidden="1" x14ac:dyDescent="0.3">
      <c r="A54" t="s">
        <v>47</v>
      </c>
      <c r="B54" t="s">
        <v>29</v>
      </c>
      <c r="C54">
        <v>0</v>
      </c>
      <c r="D54">
        <v>0</v>
      </c>
      <c r="E54">
        <v>1</v>
      </c>
      <c r="F54">
        <v>3</v>
      </c>
      <c r="G54">
        <v>0.5</v>
      </c>
      <c r="H54">
        <v>1</v>
      </c>
      <c r="I54">
        <v>4</v>
      </c>
      <c r="J54">
        <v>2</v>
      </c>
      <c r="K54">
        <v>1</v>
      </c>
      <c r="L54">
        <v>0</v>
      </c>
      <c r="M54">
        <v>1</v>
      </c>
      <c r="N54">
        <v>0</v>
      </c>
      <c r="O54">
        <v>0.5</v>
      </c>
      <c r="P54">
        <v>0.5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</row>
    <row r="55" spans="1:22" hidden="1" x14ac:dyDescent="0.3">
      <c r="A55" t="s">
        <v>47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2</v>
      </c>
      <c r="O55">
        <v>0</v>
      </c>
      <c r="P55">
        <v>0</v>
      </c>
      <c r="Q55">
        <v>0</v>
      </c>
      <c r="R55">
        <v>15</v>
      </c>
      <c r="S55">
        <v>0</v>
      </c>
      <c r="T55">
        <v>0</v>
      </c>
      <c r="U55">
        <v>0</v>
      </c>
      <c r="V55">
        <v>0</v>
      </c>
    </row>
    <row r="56" spans="1:22" hidden="1" x14ac:dyDescent="0.3">
      <c r="A56" t="s">
        <v>47</v>
      </c>
      <c r="B56" t="s">
        <v>38</v>
      </c>
      <c r="C56">
        <v>0</v>
      </c>
      <c r="D56">
        <v>0</v>
      </c>
      <c r="E56">
        <v>29</v>
      </c>
      <c r="F56">
        <v>73</v>
      </c>
      <c r="G56">
        <v>12</v>
      </c>
      <c r="H56">
        <v>28</v>
      </c>
      <c r="I56">
        <v>102</v>
      </c>
      <c r="J56">
        <v>36</v>
      </c>
      <c r="K56">
        <v>34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hidden="1" x14ac:dyDescent="0.3">
      <c r="A57" t="s">
        <v>47</v>
      </c>
      <c r="B57" t="s">
        <v>31</v>
      </c>
      <c r="C57">
        <v>0</v>
      </c>
      <c r="D57">
        <v>0</v>
      </c>
      <c r="E57">
        <v>0.5</v>
      </c>
      <c r="F57">
        <v>0.5</v>
      </c>
      <c r="G57">
        <v>0.5</v>
      </c>
      <c r="H57">
        <v>0</v>
      </c>
      <c r="I57">
        <v>0</v>
      </c>
      <c r="J57">
        <v>0.5</v>
      </c>
      <c r="K57">
        <v>2</v>
      </c>
      <c r="L57">
        <v>0</v>
      </c>
      <c r="M57">
        <v>0</v>
      </c>
      <c r="N57">
        <v>0.5</v>
      </c>
      <c r="O57">
        <v>0.5</v>
      </c>
      <c r="P57">
        <v>0</v>
      </c>
      <c r="Q57">
        <v>0</v>
      </c>
      <c r="R57">
        <v>0.5</v>
      </c>
      <c r="S57">
        <v>0</v>
      </c>
      <c r="T57">
        <v>0</v>
      </c>
      <c r="U57">
        <v>0</v>
      </c>
      <c r="V57">
        <v>0</v>
      </c>
    </row>
    <row r="58" spans="1:22" hidden="1" x14ac:dyDescent="0.3">
      <c r="A58" t="s">
        <v>47</v>
      </c>
      <c r="B58" t="s">
        <v>48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</v>
      </c>
      <c r="O58">
        <v>0</v>
      </c>
      <c r="P58">
        <v>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hidden="1" x14ac:dyDescent="0.3">
      <c r="A59" t="s">
        <v>47</v>
      </c>
      <c r="B59" t="s">
        <v>34</v>
      </c>
      <c r="C59">
        <v>0</v>
      </c>
      <c r="D59">
        <v>0</v>
      </c>
      <c r="E59">
        <v>3</v>
      </c>
      <c r="F59">
        <v>2</v>
      </c>
      <c r="G59">
        <v>1</v>
      </c>
      <c r="H59">
        <v>1</v>
      </c>
      <c r="I59">
        <v>3</v>
      </c>
      <c r="J59">
        <v>2</v>
      </c>
      <c r="K59">
        <v>1</v>
      </c>
      <c r="L59">
        <v>0</v>
      </c>
      <c r="M59">
        <v>2</v>
      </c>
      <c r="N59">
        <v>1</v>
      </c>
      <c r="O59">
        <v>1</v>
      </c>
      <c r="P59">
        <v>0.5</v>
      </c>
      <c r="Q59">
        <v>0</v>
      </c>
      <c r="R59">
        <v>2</v>
      </c>
      <c r="S59">
        <v>0</v>
      </c>
      <c r="T59">
        <v>0.5</v>
      </c>
      <c r="U59">
        <v>0.5</v>
      </c>
      <c r="V59">
        <v>0</v>
      </c>
    </row>
    <row r="60" spans="1:22" hidden="1" x14ac:dyDescent="0.3">
      <c r="A60" t="s">
        <v>47</v>
      </c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hidden="1" x14ac:dyDescent="0.3">
      <c r="A61" t="s">
        <v>49</v>
      </c>
      <c r="B61" t="s">
        <v>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hidden="1" x14ac:dyDescent="0.3">
      <c r="A62" t="s">
        <v>50</v>
      </c>
      <c r="B62" t="s">
        <v>29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0.5</v>
      </c>
      <c r="J62">
        <v>0.5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hidden="1" x14ac:dyDescent="0.3">
      <c r="A63" t="s">
        <v>50</v>
      </c>
      <c r="B63" t="s">
        <v>34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hidden="1" x14ac:dyDescent="0.3">
      <c r="A64" t="s">
        <v>51</v>
      </c>
      <c r="B64" t="s">
        <v>43</v>
      </c>
      <c r="C64">
        <v>0.5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</v>
      </c>
      <c r="S64">
        <v>0</v>
      </c>
      <c r="T64">
        <v>0</v>
      </c>
      <c r="U64">
        <v>0</v>
      </c>
      <c r="V64">
        <v>0</v>
      </c>
    </row>
    <row r="65" spans="1:22" hidden="1" x14ac:dyDescent="0.3">
      <c r="A65" t="s">
        <v>51</v>
      </c>
      <c r="B65" t="s">
        <v>28</v>
      </c>
      <c r="C65">
        <v>0.5</v>
      </c>
      <c r="D65">
        <v>0.5</v>
      </c>
      <c r="E65">
        <v>0.5</v>
      </c>
      <c r="F65">
        <v>0.5</v>
      </c>
      <c r="G65">
        <v>0.5</v>
      </c>
      <c r="H65">
        <v>0.5</v>
      </c>
      <c r="I65">
        <v>0.5</v>
      </c>
      <c r="J65">
        <v>0.5</v>
      </c>
      <c r="K65">
        <v>0.5</v>
      </c>
      <c r="L65">
        <v>0.5</v>
      </c>
      <c r="M65">
        <v>0</v>
      </c>
      <c r="N65">
        <v>0.5</v>
      </c>
      <c r="O65">
        <v>0</v>
      </c>
      <c r="P65">
        <v>0</v>
      </c>
      <c r="Q65">
        <v>0</v>
      </c>
      <c r="R65">
        <v>0.5</v>
      </c>
      <c r="S65">
        <v>0</v>
      </c>
      <c r="T65">
        <v>0.5</v>
      </c>
      <c r="U65">
        <v>0.5</v>
      </c>
      <c r="V65">
        <v>0</v>
      </c>
    </row>
    <row r="66" spans="1:22" hidden="1" x14ac:dyDescent="0.3">
      <c r="A66" t="s">
        <v>51</v>
      </c>
      <c r="B66" t="s">
        <v>29</v>
      </c>
      <c r="C66">
        <v>47</v>
      </c>
      <c r="D66">
        <v>38</v>
      </c>
      <c r="E66">
        <v>32</v>
      </c>
      <c r="F66">
        <v>27</v>
      </c>
      <c r="G66">
        <v>35</v>
      </c>
      <c r="H66">
        <v>34</v>
      </c>
      <c r="I66">
        <v>20</v>
      </c>
      <c r="J66">
        <v>20</v>
      </c>
      <c r="K66">
        <v>13</v>
      </c>
      <c r="L66">
        <v>12</v>
      </c>
      <c r="M66">
        <v>10</v>
      </c>
      <c r="N66">
        <v>10</v>
      </c>
      <c r="O66">
        <v>14</v>
      </c>
      <c r="P66">
        <v>13</v>
      </c>
      <c r="Q66">
        <v>18</v>
      </c>
      <c r="R66">
        <v>18</v>
      </c>
      <c r="S66">
        <v>11</v>
      </c>
      <c r="T66">
        <v>8</v>
      </c>
      <c r="U66">
        <v>14</v>
      </c>
      <c r="V66">
        <v>22</v>
      </c>
    </row>
    <row r="67" spans="1:22" hidden="1" x14ac:dyDescent="0.3">
      <c r="A67" t="s">
        <v>51</v>
      </c>
      <c r="B67" t="s">
        <v>30</v>
      </c>
      <c r="C67">
        <v>49</v>
      </c>
      <c r="D67">
        <v>53</v>
      </c>
      <c r="E67">
        <v>42</v>
      </c>
      <c r="F67">
        <v>56</v>
      </c>
      <c r="G67">
        <v>86</v>
      </c>
      <c r="H67">
        <v>45</v>
      </c>
      <c r="I67">
        <v>76</v>
      </c>
      <c r="J67">
        <v>25</v>
      </c>
      <c r="K67">
        <v>24</v>
      </c>
      <c r="L67">
        <v>41</v>
      </c>
      <c r="M67">
        <v>27</v>
      </c>
      <c r="N67">
        <v>24</v>
      </c>
      <c r="O67">
        <v>31</v>
      </c>
      <c r="P67">
        <v>19</v>
      </c>
      <c r="Q67">
        <v>60</v>
      </c>
      <c r="R67">
        <v>141</v>
      </c>
      <c r="S67">
        <v>15</v>
      </c>
      <c r="T67">
        <v>20</v>
      </c>
      <c r="U67">
        <v>28</v>
      </c>
      <c r="V67">
        <v>46</v>
      </c>
    </row>
    <row r="68" spans="1:22" hidden="1" x14ac:dyDescent="0.3">
      <c r="A68" t="s">
        <v>51</v>
      </c>
      <c r="B68" t="s">
        <v>31</v>
      </c>
      <c r="C68">
        <v>52</v>
      </c>
      <c r="D68">
        <v>39</v>
      </c>
      <c r="E68">
        <v>24</v>
      </c>
      <c r="F68">
        <v>36</v>
      </c>
      <c r="G68">
        <v>84</v>
      </c>
      <c r="H68">
        <v>75</v>
      </c>
      <c r="I68">
        <v>47</v>
      </c>
      <c r="J68">
        <v>88</v>
      </c>
      <c r="K68">
        <v>53</v>
      </c>
      <c r="L68">
        <v>26</v>
      </c>
      <c r="M68">
        <v>22</v>
      </c>
      <c r="N68">
        <v>11</v>
      </c>
      <c r="O68">
        <v>11</v>
      </c>
      <c r="P68">
        <v>8</v>
      </c>
      <c r="Q68">
        <v>8</v>
      </c>
      <c r="R68">
        <v>4</v>
      </c>
      <c r="S68">
        <v>4</v>
      </c>
      <c r="T68">
        <v>2</v>
      </c>
      <c r="U68">
        <v>7</v>
      </c>
      <c r="V68">
        <v>4</v>
      </c>
    </row>
    <row r="69" spans="1:22" hidden="1" x14ac:dyDescent="0.3">
      <c r="A69" t="s">
        <v>51</v>
      </c>
      <c r="B69" t="s">
        <v>32</v>
      </c>
      <c r="C69">
        <v>0.5</v>
      </c>
      <c r="D69">
        <v>9</v>
      </c>
      <c r="E69">
        <v>0.5</v>
      </c>
      <c r="F69">
        <v>10</v>
      </c>
      <c r="G69">
        <v>32</v>
      </c>
      <c r="H69">
        <v>2</v>
      </c>
      <c r="I69">
        <v>0.5</v>
      </c>
      <c r="J69">
        <v>0.5</v>
      </c>
      <c r="K69">
        <v>0.5</v>
      </c>
      <c r="L69">
        <v>0.5</v>
      </c>
      <c r="M69">
        <v>0</v>
      </c>
      <c r="N69">
        <v>0</v>
      </c>
      <c r="O69">
        <v>0.5</v>
      </c>
      <c r="P69">
        <v>0</v>
      </c>
      <c r="Q69">
        <v>0</v>
      </c>
      <c r="R69">
        <v>0</v>
      </c>
      <c r="S69">
        <v>0.5</v>
      </c>
      <c r="T69">
        <v>0</v>
      </c>
      <c r="U69">
        <v>0</v>
      </c>
      <c r="V69">
        <v>0</v>
      </c>
    </row>
    <row r="70" spans="1:22" hidden="1" x14ac:dyDescent="0.3">
      <c r="A70" t="s">
        <v>51</v>
      </c>
      <c r="B70" t="s">
        <v>33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0.5</v>
      </c>
      <c r="U70">
        <v>0.5</v>
      </c>
      <c r="V70">
        <v>0</v>
      </c>
    </row>
    <row r="71" spans="1:22" hidden="1" x14ac:dyDescent="0.3">
      <c r="A71" t="s">
        <v>51</v>
      </c>
      <c r="B71" t="s">
        <v>39</v>
      </c>
      <c r="C71">
        <v>1</v>
      </c>
      <c r="D71">
        <v>1</v>
      </c>
      <c r="E71">
        <v>0.5</v>
      </c>
      <c r="F71">
        <v>1</v>
      </c>
      <c r="G71">
        <v>2</v>
      </c>
      <c r="H71">
        <v>1</v>
      </c>
      <c r="I71">
        <v>1</v>
      </c>
      <c r="J71">
        <v>1</v>
      </c>
      <c r="K71">
        <v>0.5</v>
      </c>
      <c r="L71">
        <v>0.5</v>
      </c>
      <c r="M71">
        <v>0</v>
      </c>
      <c r="N71">
        <v>0</v>
      </c>
      <c r="O71">
        <v>0</v>
      </c>
      <c r="P71">
        <v>0.5</v>
      </c>
      <c r="Q71">
        <v>0</v>
      </c>
      <c r="R71">
        <v>0.5</v>
      </c>
      <c r="S71">
        <v>0.5</v>
      </c>
      <c r="T71">
        <v>0.5</v>
      </c>
      <c r="U71">
        <v>0</v>
      </c>
      <c r="V71">
        <v>0</v>
      </c>
    </row>
    <row r="72" spans="1:22" hidden="1" x14ac:dyDescent="0.3">
      <c r="A72" t="s">
        <v>51</v>
      </c>
      <c r="B72" t="s">
        <v>34</v>
      </c>
      <c r="C72">
        <v>69</v>
      </c>
      <c r="D72">
        <v>44</v>
      </c>
      <c r="E72">
        <v>22</v>
      </c>
      <c r="F72">
        <v>23</v>
      </c>
      <c r="G72">
        <v>24</v>
      </c>
      <c r="H72">
        <v>21</v>
      </c>
      <c r="I72">
        <v>7</v>
      </c>
      <c r="J72">
        <v>8</v>
      </c>
      <c r="K72">
        <v>7</v>
      </c>
      <c r="L72">
        <v>8</v>
      </c>
      <c r="M72">
        <v>8</v>
      </c>
      <c r="N72">
        <v>7</v>
      </c>
      <c r="O72">
        <v>11</v>
      </c>
      <c r="P72">
        <v>9</v>
      </c>
      <c r="Q72">
        <v>22</v>
      </c>
      <c r="R72">
        <v>26</v>
      </c>
      <c r="S72">
        <v>10</v>
      </c>
      <c r="T72">
        <v>8</v>
      </c>
      <c r="U72">
        <v>22</v>
      </c>
      <c r="V72">
        <v>21</v>
      </c>
    </row>
    <row r="73" spans="1:22" hidden="1" x14ac:dyDescent="0.3">
      <c r="A73" t="s">
        <v>51</v>
      </c>
      <c r="B73" t="s">
        <v>35</v>
      </c>
      <c r="C73">
        <v>1</v>
      </c>
      <c r="D73">
        <v>0.5</v>
      </c>
      <c r="E73">
        <v>0.5</v>
      </c>
      <c r="F73">
        <v>0.5</v>
      </c>
      <c r="G73">
        <v>1</v>
      </c>
      <c r="H73">
        <v>0.5</v>
      </c>
      <c r="I73">
        <v>0.5</v>
      </c>
      <c r="J73">
        <v>0.5</v>
      </c>
      <c r="K73">
        <v>0.5</v>
      </c>
      <c r="L73">
        <v>0.5</v>
      </c>
      <c r="M73">
        <v>0</v>
      </c>
      <c r="N73">
        <v>0.5</v>
      </c>
      <c r="O73">
        <v>0.5</v>
      </c>
      <c r="P73">
        <v>0.5</v>
      </c>
      <c r="Q73">
        <v>0</v>
      </c>
      <c r="R73">
        <v>0</v>
      </c>
      <c r="S73">
        <v>0.5</v>
      </c>
      <c r="T73">
        <v>0.5</v>
      </c>
      <c r="U73">
        <v>0.5</v>
      </c>
      <c r="V73">
        <v>0</v>
      </c>
    </row>
    <row r="74" spans="1:22" hidden="1" x14ac:dyDescent="0.3">
      <c r="A74" t="s">
        <v>52</v>
      </c>
      <c r="B74" t="s">
        <v>43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hidden="1" x14ac:dyDescent="0.3">
      <c r="A75" t="s">
        <v>52</v>
      </c>
      <c r="B75" t="s">
        <v>28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hidden="1" x14ac:dyDescent="0.3">
      <c r="A76" t="s">
        <v>52</v>
      </c>
      <c r="B76" t="s">
        <v>29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hidden="1" x14ac:dyDescent="0.3">
      <c r="A77" t="s">
        <v>52</v>
      </c>
      <c r="B77" t="s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hidden="1" x14ac:dyDescent="0.3">
      <c r="A78" t="s">
        <v>52</v>
      </c>
      <c r="B78" t="s">
        <v>38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hidden="1" x14ac:dyDescent="0.3">
      <c r="A79" t="s">
        <v>52</v>
      </c>
      <c r="B79" t="s">
        <v>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hidden="1" x14ac:dyDescent="0.3">
      <c r="A80" t="s">
        <v>52</v>
      </c>
      <c r="B80" t="s">
        <v>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hidden="1" x14ac:dyDescent="0.3">
      <c r="A81" t="s">
        <v>52</v>
      </c>
      <c r="B81" t="s">
        <v>39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hidden="1" x14ac:dyDescent="0.3">
      <c r="A82" t="s">
        <v>52</v>
      </c>
      <c r="B82" t="s">
        <v>34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hidden="1" x14ac:dyDescent="0.3">
      <c r="A83" t="s">
        <v>52</v>
      </c>
      <c r="B83" t="s">
        <v>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hidden="1" x14ac:dyDescent="0.3">
      <c r="A84" t="s">
        <v>53</v>
      </c>
      <c r="B84" t="s">
        <v>28</v>
      </c>
      <c r="C84">
        <v>0</v>
      </c>
      <c r="D84">
        <v>0</v>
      </c>
      <c r="E84">
        <v>0.5</v>
      </c>
      <c r="F84">
        <v>0.5</v>
      </c>
      <c r="G84">
        <v>0.5</v>
      </c>
      <c r="H84">
        <v>0.5</v>
      </c>
      <c r="I84">
        <v>0.5</v>
      </c>
      <c r="J84">
        <v>0.5</v>
      </c>
      <c r="K84">
        <v>0.5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</v>
      </c>
      <c r="S84">
        <v>0.5</v>
      </c>
      <c r="T84">
        <v>0</v>
      </c>
      <c r="U84">
        <v>0</v>
      </c>
      <c r="V84">
        <v>0</v>
      </c>
    </row>
    <row r="85" spans="1:22" hidden="1" x14ac:dyDescent="0.3">
      <c r="A85" t="s">
        <v>53</v>
      </c>
      <c r="B85" t="s">
        <v>29</v>
      </c>
      <c r="C85">
        <v>1</v>
      </c>
      <c r="D85">
        <v>1</v>
      </c>
      <c r="E85">
        <v>1</v>
      </c>
      <c r="F85">
        <v>0.5</v>
      </c>
      <c r="G85">
        <v>3</v>
      </c>
      <c r="H85">
        <v>3</v>
      </c>
      <c r="I85">
        <v>4</v>
      </c>
      <c r="J85">
        <v>2</v>
      </c>
      <c r="K85">
        <v>1</v>
      </c>
      <c r="L85">
        <v>4</v>
      </c>
      <c r="M85">
        <v>3</v>
      </c>
      <c r="N85">
        <v>7</v>
      </c>
      <c r="O85">
        <v>17</v>
      </c>
      <c r="P85">
        <v>14</v>
      </c>
      <c r="Q85">
        <v>16</v>
      </c>
      <c r="R85">
        <v>17</v>
      </c>
      <c r="S85">
        <v>9</v>
      </c>
      <c r="T85">
        <v>0.5</v>
      </c>
      <c r="U85">
        <v>0.5</v>
      </c>
      <c r="V85">
        <v>0</v>
      </c>
    </row>
    <row r="86" spans="1:22" hidden="1" x14ac:dyDescent="0.3">
      <c r="A86" t="s">
        <v>53</v>
      </c>
      <c r="B86" t="s">
        <v>30</v>
      </c>
      <c r="C86">
        <v>0</v>
      </c>
      <c r="D86">
        <v>6</v>
      </c>
      <c r="E86">
        <v>3</v>
      </c>
      <c r="F86">
        <v>7</v>
      </c>
      <c r="G86">
        <v>14</v>
      </c>
      <c r="H86">
        <v>9</v>
      </c>
      <c r="I86">
        <v>35</v>
      </c>
      <c r="J86">
        <v>17</v>
      </c>
      <c r="K86">
        <v>0</v>
      </c>
      <c r="L86">
        <v>0.5</v>
      </c>
      <c r="M86">
        <v>0</v>
      </c>
      <c r="N86">
        <v>20</v>
      </c>
      <c r="O86">
        <v>44</v>
      </c>
      <c r="P86">
        <v>17</v>
      </c>
      <c r="Q86">
        <v>23</v>
      </c>
      <c r="R86">
        <v>36</v>
      </c>
      <c r="S86">
        <v>15</v>
      </c>
      <c r="T86">
        <v>0.5</v>
      </c>
      <c r="U86">
        <v>0</v>
      </c>
      <c r="V86">
        <v>1</v>
      </c>
    </row>
    <row r="87" spans="1:22" hidden="1" x14ac:dyDescent="0.3">
      <c r="A87" t="s">
        <v>53</v>
      </c>
      <c r="B87" t="s">
        <v>38</v>
      </c>
      <c r="C87">
        <v>0</v>
      </c>
      <c r="D87">
        <v>0</v>
      </c>
      <c r="E87">
        <v>0</v>
      </c>
      <c r="F87">
        <v>0</v>
      </c>
      <c r="G87">
        <v>0.5</v>
      </c>
      <c r="H87">
        <v>0.5</v>
      </c>
      <c r="I87">
        <v>0.5</v>
      </c>
      <c r="J87">
        <v>0</v>
      </c>
      <c r="K87">
        <v>0</v>
      </c>
      <c r="L87">
        <v>0</v>
      </c>
      <c r="M87">
        <v>0</v>
      </c>
      <c r="N87">
        <v>0</v>
      </c>
      <c r="O87">
        <v>0.5</v>
      </c>
      <c r="P87">
        <v>0.5</v>
      </c>
      <c r="Q87">
        <v>0</v>
      </c>
      <c r="R87">
        <v>0.5</v>
      </c>
      <c r="S87">
        <v>0</v>
      </c>
      <c r="T87">
        <v>0</v>
      </c>
      <c r="U87">
        <v>0</v>
      </c>
      <c r="V87">
        <v>0</v>
      </c>
    </row>
    <row r="88" spans="1:22" hidden="1" x14ac:dyDescent="0.3">
      <c r="A88" t="s">
        <v>53</v>
      </c>
      <c r="B88" t="s">
        <v>31</v>
      </c>
      <c r="C88">
        <v>0.5</v>
      </c>
      <c r="D88">
        <v>3</v>
      </c>
      <c r="E88">
        <v>23</v>
      </c>
      <c r="F88">
        <v>1</v>
      </c>
      <c r="G88">
        <v>2</v>
      </c>
      <c r="H88">
        <v>6</v>
      </c>
      <c r="I88">
        <v>2</v>
      </c>
      <c r="J88">
        <v>1</v>
      </c>
      <c r="K88">
        <v>1</v>
      </c>
      <c r="L88">
        <v>1</v>
      </c>
      <c r="M88">
        <v>1</v>
      </c>
      <c r="N88">
        <v>1</v>
      </c>
      <c r="O88">
        <v>3</v>
      </c>
      <c r="P88">
        <v>2</v>
      </c>
      <c r="Q88">
        <v>2</v>
      </c>
      <c r="R88">
        <v>3</v>
      </c>
      <c r="S88">
        <v>1</v>
      </c>
      <c r="T88">
        <v>0.5</v>
      </c>
      <c r="U88">
        <v>0.5</v>
      </c>
      <c r="V88">
        <v>0</v>
      </c>
    </row>
    <row r="89" spans="1:22" hidden="1" x14ac:dyDescent="0.3">
      <c r="A89" t="s">
        <v>53</v>
      </c>
      <c r="B89" t="s">
        <v>32</v>
      </c>
      <c r="C89">
        <v>0</v>
      </c>
      <c r="D89">
        <v>1</v>
      </c>
      <c r="E89">
        <v>0</v>
      </c>
      <c r="F89">
        <v>0</v>
      </c>
      <c r="G89">
        <v>0</v>
      </c>
      <c r="H89">
        <v>0.5</v>
      </c>
      <c r="I89">
        <v>0.5</v>
      </c>
      <c r="J89">
        <v>0.5</v>
      </c>
      <c r="K89">
        <v>0.5</v>
      </c>
      <c r="L89">
        <v>0.5</v>
      </c>
      <c r="M89">
        <v>0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hidden="1" x14ac:dyDescent="0.3">
      <c r="A90" t="s">
        <v>53</v>
      </c>
      <c r="B90" t="s">
        <v>34</v>
      </c>
      <c r="C90">
        <v>1</v>
      </c>
      <c r="D90">
        <v>6</v>
      </c>
      <c r="E90">
        <v>28</v>
      </c>
      <c r="F90">
        <v>6</v>
      </c>
      <c r="G90">
        <v>4</v>
      </c>
      <c r="H90">
        <v>5</v>
      </c>
      <c r="I90">
        <v>6</v>
      </c>
      <c r="J90">
        <v>2</v>
      </c>
      <c r="K90">
        <v>1</v>
      </c>
      <c r="L90">
        <v>4</v>
      </c>
      <c r="M90">
        <v>3</v>
      </c>
      <c r="N90">
        <v>6</v>
      </c>
      <c r="O90">
        <v>11</v>
      </c>
      <c r="P90">
        <v>11</v>
      </c>
      <c r="Q90">
        <v>12</v>
      </c>
      <c r="R90">
        <v>13</v>
      </c>
      <c r="S90">
        <v>9</v>
      </c>
      <c r="T90">
        <v>0.5</v>
      </c>
      <c r="U90">
        <v>0.5</v>
      </c>
      <c r="V90">
        <v>0</v>
      </c>
    </row>
    <row r="91" spans="1:22" hidden="1" x14ac:dyDescent="0.3">
      <c r="A91" t="s">
        <v>53</v>
      </c>
      <c r="B91" t="s">
        <v>35</v>
      </c>
      <c r="C91">
        <v>0</v>
      </c>
      <c r="D91">
        <v>0</v>
      </c>
      <c r="E91">
        <v>0.5</v>
      </c>
      <c r="F91">
        <v>0</v>
      </c>
      <c r="G91">
        <v>0</v>
      </c>
      <c r="H91">
        <v>0.5</v>
      </c>
      <c r="I91">
        <v>0.5</v>
      </c>
      <c r="J91">
        <v>0.5</v>
      </c>
      <c r="K91">
        <v>0.5</v>
      </c>
      <c r="L91">
        <v>0.5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hidden="1" x14ac:dyDescent="0.3">
      <c r="A92" t="s">
        <v>54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4" spans="1:22" x14ac:dyDescent="0.3">
      <c r="A94" t="s">
        <v>56</v>
      </c>
      <c r="C94">
        <f t="shared" ref="C94:V94" si="0">SUM(C2:C92)</f>
        <v>2901.5</v>
      </c>
      <c r="D94">
        <f t="shared" si="0"/>
        <v>2849</v>
      </c>
      <c r="E94">
        <f t="shared" si="0"/>
        <v>3008.5</v>
      </c>
      <c r="F94">
        <f t="shared" si="0"/>
        <v>2965</v>
      </c>
      <c r="G94">
        <f t="shared" si="0"/>
        <v>3246</v>
      </c>
      <c r="H94">
        <f t="shared" si="0"/>
        <v>2923.5</v>
      </c>
      <c r="I94">
        <f t="shared" si="0"/>
        <v>1975</v>
      </c>
      <c r="J94">
        <f t="shared" si="0"/>
        <v>6844.5</v>
      </c>
      <c r="K94">
        <f t="shared" si="0"/>
        <v>5051</v>
      </c>
      <c r="L94">
        <f t="shared" si="0"/>
        <v>5671</v>
      </c>
      <c r="M94">
        <f t="shared" si="0"/>
        <v>5661</v>
      </c>
      <c r="N94">
        <f t="shared" si="0"/>
        <v>6193.5</v>
      </c>
      <c r="O94">
        <f t="shared" si="0"/>
        <v>5508</v>
      </c>
      <c r="P94">
        <f t="shared" si="0"/>
        <v>5653</v>
      </c>
      <c r="Q94">
        <f t="shared" si="0"/>
        <v>5230</v>
      </c>
      <c r="R94">
        <f t="shared" si="0"/>
        <v>5530.5</v>
      </c>
      <c r="S94">
        <f t="shared" si="0"/>
        <v>4685</v>
      </c>
      <c r="T94">
        <f t="shared" si="0"/>
        <v>3884.5</v>
      </c>
      <c r="U94">
        <f t="shared" si="0"/>
        <v>4017.5</v>
      </c>
      <c r="V94">
        <f t="shared" si="0"/>
        <v>4344</v>
      </c>
    </row>
    <row r="95" spans="1:22" x14ac:dyDescent="0.3">
      <c r="A95" t="s">
        <v>55</v>
      </c>
      <c r="C95">
        <f t="shared" ref="C95:V95" si="1" xml:space="preserve"> SUM(C47:C49)</f>
        <v>0</v>
      </c>
      <c r="D95">
        <f t="shared" si="1"/>
        <v>0</v>
      </c>
      <c r="E95">
        <f t="shared" si="1"/>
        <v>0</v>
      </c>
      <c r="F95">
        <f t="shared" si="1"/>
        <v>0</v>
      </c>
      <c r="G95">
        <f t="shared" si="1"/>
        <v>0</v>
      </c>
      <c r="H95">
        <f t="shared" si="1"/>
        <v>0</v>
      </c>
      <c r="I95">
        <f t="shared" si="1"/>
        <v>0</v>
      </c>
      <c r="J95">
        <f xml:space="preserve"> SUM(J47:J49)</f>
        <v>4728</v>
      </c>
      <c r="K95">
        <f t="shared" si="1"/>
        <v>3092</v>
      </c>
      <c r="L95">
        <f t="shared" si="1"/>
        <v>2640</v>
      </c>
      <c r="M95">
        <f t="shared" si="1"/>
        <v>2638</v>
      </c>
      <c r="N95">
        <f t="shared" si="1"/>
        <v>3484</v>
      </c>
      <c r="O95">
        <f t="shared" si="1"/>
        <v>3090</v>
      </c>
      <c r="P95">
        <f t="shared" si="1"/>
        <v>3492</v>
      </c>
      <c r="Q95">
        <f t="shared" si="1"/>
        <v>2980</v>
      </c>
      <c r="R95">
        <f t="shared" si="1"/>
        <v>3368</v>
      </c>
      <c r="S95">
        <f t="shared" si="1"/>
        <v>2467</v>
      </c>
      <c r="T95">
        <f t="shared" si="1"/>
        <v>2019</v>
      </c>
      <c r="U95">
        <f t="shared" si="1"/>
        <v>1956</v>
      </c>
      <c r="V95">
        <f t="shared" si="1"/>
        <v>2338</v>
      </c>
    </row>
    <row r="96" spans="1:22" x14ac:dyDescent="0.3">
      <c r="A96" t="s">
        <v>57</v>
      </c>
      <c r="C96">
        <f t="shared" ref="C96:H96" si="2">C94/(1-$B$97)</f>
        <v>6532.5285271653238</v>
      </c>
      <c r="D96">
        <f t="shared" si="2"/>
        <v>6414.3283728740334</v>
      </c>
      <c r="E96">
        <f t="shared" si="2"/>
        <v>6773.4316987685252</v>
      </c>
      <c r="F96">
        <f t="shared" si="2"/>
        <v>6675.4944280700274</v>
      </c>
      <c r="G96">
        <f t="shared" si="2"/>
        <v>7308.1466824672207</v>
      </c>
      <c r="H96">
        <f t="shared" si="2"/>
        <v>6582.0600203921504</v>
      </c>
      <c r="I96">
        <f>I94/(1-$B$97)</f>
        <v>4446.5772328628345</v>
      </c>
      <c r="J96">
        <f>J95/J94</f>
        <v>0.69077361385053693</v>
      </c>
      <c r="K96">
        <f>K95/K94</f>
        <v>0.61215600871114628</v>
      </c>
      <c r="L96">
        <f t="shared" ref="L96:V96" si="3">L95/L94</f>
        <v>0.46552636219361665</v>
      </c>
      <c r="M96">
        <f t="shared" si="3"/>
        <v>0.46599540717187776</v>
      </c>
      <c r="N96">
        <f t="shared" si="3"/>
        <v>0.5625252280616776</v>
      </c>
      <c r="O96">
        <f t="shared" si="3"/>
        <v>0.56100217864923752</v>
      </c>
      <c r="P96">
        <f>P95/P94</f>
        <v>0.61772510171590311</v>
      </c>
      <c r="Q96">
        <f t="shared" si="3"/>
        <v>0.5697896749521989</v>
      </c>
      <c r="R96">
        <f t="shared" si="3"/>
        <v>0.60898652924690355</v>
      </c>
      <c r="S96">
        <f t="shared" si="3"/>
        <v>0.5265741728922092</v>
      </c>
      <c r="T96">
        <f t="shared" si="3"/>
        <v>0.51975801261423604</v>
      </c>
      <c r="U96">
        <f t="shared" si="3"/>
        <v>0.48686994399502176</v>
      </c>
      <c r="V96">
        <f t="shared" si="3"/>
        <v>0.5382136279926335</v>
      </c>
    </row>
    <row r="97" spans="2:9" x14ac:dyDescent="0.3">
      <c r="B97">
        <f>AVERAGE(J96:V96)</f>
        <v>0.55583814323440006</v>
      </c>
    </row>
    <row r="98" spans="2:9" x14ac:dyDescent="0.3">
      <c r="C98">
        <v>6532.5285271653202</v>
      </c>
      <c r="D98">
        <v>6414.3283728740334</v>
      </c>
      <c r="E98">
        <v>6773.4316987685252</v>
      </c>
      <c r="F98">
        <v>6675.4944280700274</v>
      </c>
      <c r="G98">
        <v>7308.1466824672207</v>
      </c>
      <c r="H98">
        <v>6582.0600203921504</v>
      </c>
      <c r="I98">
        <v>4446.5772328628345</v>
      </c>
    </row>
    <row r="100" spans="2:9" x14ac:dyDescent="0.3">
      <c r="C100">
        <v>6532.5285271653238</v>
      </c>
    </row>
    <row r="101" spans="2:9" x14ac:dyDescent="0.3">
      <c r="C101">
        <v>6414.3283728740334</v>
      </c>
    </row>
    <row r="102" spans="2:9" x14ac:dyDescent="0.3">
      <c r="C102">
        <v>6773.4316987685252</v>
      </c>
    </row>
    <row r="103" spans="2:9" x14ac:dyDescent="0.3">
      <c r="C103">
        <v>6675.4944280700274</v>
      </c>
    </row>
    <row r="104" spans="2:9" x14ac:dyDescent="0.3">
      <c r="C104">
        <v>7308.1466824672207</v>
      </c>
    </row>
    <row r="105" spans="2:9" x14ac:dyDescent="0.3">
      <c r="C105">
        <v>6582.0600203921504</v>
      </c>
    </row>
    <row r="106" spans="2:9" x14ac:dyDescent="0.3">
      <c r="C106">
        <v>4446.5772328628345</v>
      </c>
    </row>
  </sheetData>
  <autoFilter ref="A1:V92" xr:uid="{9FBEF112-5AB0-4DF2-85B5-FFA60D903557}">
    <filterColumn colId="0">
      <filters>
        <filter val="Netherland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C39D-7D4B-4765-992C-93498A3174B0}">
  <dimension ref="A1:V78"/>
  <sheetViews>
    <sheetView topLeftCell="A53" workbookViewId="0">
      <selection activeCell="B62" sqref="B62"/>
    </sheetView>
  </sheetViews>
  <sheetFormatPr defaultRowHeight="14.4" x14ac:dyDescent="0.3"/>
  <sheetData>
    <row r="1" spans="1:22" x14ac:dyDescent="0.3">
      <c r="A1" t="s">
        <v>25</v>
      </c>
      <c r="B1" t="s">
        <v>26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</row>
    <row r="2" spans="1:22" x14ac:dyDescent="0.3">
      <c r="A2" t="s">
        <v>27</v>
      </c>
      <c r="B2" t="s">
        <v>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27</v>
      </c>
      <c r="B3" t="s">
        <v>59</v>
      </c>
      <c r="C3">
        <v>1</v>
      </c>
      <c r="D3">
        <v>11</v>
      </c>
      <c r="E3">
        <v>10</v>
      </c>
      <c r="F3">
        <v>7</v>
      </c>
      <c r="G3">
        <v>5</v>
      </c>
      <c r="H3">
        <v>9</v>
      </c>
      <c r="I3">
        <v>13</v>
      </c>
      <c r="J3">
        <v>22</v>
      </c>
      <c r="K3">
        <v>7</v>
      </c>
      <c r="L3">
        <v>11</v>
      </c>
      <c r="M3">
        <v>23</v>
      </c>
      <c r="N3">
        <v>20</v>
      </c>
      <c r="O3">
        <v>13</v>
      </c>
      <c r="P3">
        <v>9</v>
      </c>
      <c r="Q3">
        <v>2</v>
      </c>
      <c r="R3">
        <v>0</v>
      </c>
      <c r="S3">
        <v>2</v>
      </c>
      <c r="T3">
        <v>12</v>
      </c>
      <c r="U3">
        <v>9</v>
      </c>
      <c r="V3">
        <v>2</v>
      </c>
    </row>
    <row r="4" spans="1:22" x14ac:dyDescent="0.3">
      <c r="A4" t="s">
        <v>27</v>
      </c>
      <c r="B4" t="s">
        <v>60</v>
      </c>
      <c r="C4">
        <v>4</v>
      </c>
      <c r="D4">
        <v>1</v>
      </c>
      <c r="E4">
        <v>4</v>
      </c>
      <c r="F4">
        <v>2</v>
      </c>
      <c r="G4">
        <v>2</v>
      </c>
      <c r="H4">
        <v>3</v>
      </c>
      <c r="I4">
        <v>2</v>
      </c>
      <c r="J4">
        <v>3</v>
      </c>
      <c r="K4">
        <v>1</v>
      </c>
      <c r="L4">
        <v>2</v>
      </c>
      <c r="M4">
        <v>2</v>
      </c>
      <c r="N4">
        <v>2</v>
      </c>
      <c r="O4">
        <v>3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 x14ac:dyDescent="0.3">
      <c r="A5" t="s">
        <v>27</v>
      </c>
      <c r="B5" t="s">
        <v>61</v>
      </c>
      <c r="C5">
        <v>166</v>
      </c>
      <c r="D5">
        <v>144</v>
      </c>
      <c r="E5">
        <v>133</v>
      </c>
      <c r="F5">
        <v>93</v>
      </c>
      <c r="G5">
        <v>73</v>
      </c>
      <c r="H5">
        <v>115</v>
      </c>
      <c r="I5">
        <v>50</v>
      </c>
      <c r="J5">
        <v>37</v>
      </c>
      <c r="K5">
        <v>37</v>
      </c>
      <c r="L5">
        <v>56</v>
      </c>
      <c r="M5">
        <v>83</v>
      </c>
      <c r="N5">
        <v>98</v>
      </c>
      <c r="O5">
        <v>32</v>
      </c>
      <c r="P5">
        <v>31</v>
      </c>
      <c r="Q5">
        <v>30</v>
      </c>
      <c r="R5">
        <v>30</v>
      </c>
      <c r="S5">
        <v>27</v>
      </c>
      <c r="T5">
        <v>37</v>
      </c>
      <c r="U5">
        <v>52</v>
      </c>
      <c r="V5">
        <v>48</v>
      </c>
    </row>
    <row r="6" spans="1:22" x14ac:dyDescent="0.3">
      <c r="A6" t="s">
        <v>27</v>
      </c>
      <c r="B6" t="s">
        <v>62</v>
      </c>
      <c r="C6">
        <v>0</v>
      </c>
      <c r="D6">
        <v>12</v>
      </c>
      <c r="E6">
        <v>1</v>
      </c>
      <c r="F6">
        <v>0</v>
      </c>
      <c r="G6">
        <v>0</v>
      </c>
      <c r="H6">
        <v>2</v>
      </c>
      <c r="I6">
        <v>2</v>
      </c>
      <c r="J6">
        <v>1</v>
      </c>
      <c r="K6">
        <v>0.5</v>
      </c>
      <c r="L6">
        <v>1</v>
      </c>
      <c r="M6">
        <v>1</v>
      </c>
      <c r="N6">
        <v>0</v>
      </c>
      <c r="O6">
        <v>1</v>
      </c>
      <c r="P6">
        <v>0.5</v>
      </c>
      <c r="Q6">
        <v>0</v>
      </c>
      <c r="R6">
        <v>0</v>
      </c>
      <c r="S6">
        <v>0</v>
      </c>
      <c r="T6">
        <v>0.5</v>
      </c>
      <c r="U6">
        <v>0.5</v>
      </c>
      <c r="V6">
        <v>1</v>
      </c>
    </row>
    <row r="7" spans="1:22" x14ac:dyDescent="0.3">
      <c r="A7" t="s">
        <v>36</v>
      </c>
      <c r="B7" t="s">
        <v>58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t="s">
        <v>36</v>
      </c>
      <c r="B8" t="s">
        <v>59</v>
      </c>
      <c r="C8">
        <v>0.5</v>
      </c>
      <c r="D8">
        <v>1</v>
      </c>
      <c r="E8">
        <v>0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2</v>
      </c>
      <c r="P8">
        <v>0.5</v>
      </c>
      <c r="Q8">
        <v>0</v>
      </c>
      <c r="R8">
        <v>0.5</v>
      </c>
      <c r="S8">
        <v>0.5</v>
      </c>
      <c r="T8">
        <v>0</v>
      </c>
      <c r="U8">
        <v>0.5</v>
      </c>
      <c r="V8">
        <v>0</v>
      </c>
    </row>
    <row r="9" spans="1:22" x14ac:dyDescent="0.3">
      <c r="A9" t="s">
        <v>36</v>
      </c>
      <c r="B9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514</v>
      </c>
      <c r="L9">
        <v>182</v>
      </c>
      <c r="M9">
        <v>304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t="s">
        <v>36</v>
      </c>
      <c r="B10" t="s">
        <v>60</v>
      </c>
      <c r="C10">
        <v>15</v>
      </c>
      <c r="D10">
        <v>3</v>
      </c>
      <c r="E10">
        <v>3</v>
      </c>
      <c r="F10">
        <v>1</v>
      </c>
      <c r="G10">
        <v>2</v>
      </c>
      <c r="H10">
        <v>3</v>
      </c>
      <c r="I10">
        <v>1</v>
      </c>
      <c r="J10">
        <v>1</v>
      </c>
      <c r="K10">
        <v>4</v>
      </c>
      <c r="L10">
        <v>2</v>
      </c>
      <c r="M10">
        <v>0.5</v>
      </c>
      <c r="N10">
        <v>0.5</v>
      </c>
      <c r="O10">
        <v>0.5</v>
      </c>
      <c r="P10">
        <v>0.5</v>
      </c>
      <c r="Q10">
        <v>0</v>
      </c>
      <c r="R10">
        <v>0.5</v>
      </c>
      <c r="S10">
        <v>0.5</v>
      </c>
      <c r="T10">
        <v>0.5</v>
      </c>
      <c r="U10">
        <v>0.5</v>
      </c>
      <c r="V10">
        <v>0</v>
      </c>
    </row>
    <row r="11" spans="1:22" x14ac:dyDescent="0.3">
      <c r="A11" t="s">
        <v>36</v>
      </c>
      <c r="B11" t="s">
        <v>61</v>
      </c>
      <c r="C11">
        <v>2</v>
      </c>
      <c r="D11">
        <v>1</v>
      </c>
      <c r="E11">
        <v>1</v>
      </c>
      <c r="F11">
        <v>1</v>
      </c>
      <c r="G11">
        <v>0.5</v>
      </c>
      <c r="H11">
        <v>1</v>
      </c>
      <c r="I11">
        <v>1</v>
      </c>
      <c r="J11">
        <v>2</v>
      </c>
      <c r="K11">
        <v>0.5</v>
      </c>
      <c r="L11">
        <v>1</v>
      </c>
      <c r="M11">
        <v>1</v>
      </c>
      <c r="N11">
        <v>2</v>
      </c>
      <c r="O11">
        <v>0.5</v>
      </c>
      <c r="P11">
        <v>0.5</v>
      </c>
      <c r="Q11">
        <v>1</v>
      </c>
      <c r="R11">
        <v>0.5</v>
      </c>
      <c r="S11">
        <v>0.5</v>
      </c>
      <c r="T11">
        <v>0.5</v>
      </c>
      <c r="U11">
        <v>0.5</v>
      </c>
      <c r="V11">
        <v>0</v>
      </c>
    </row>
    <row r="12" spans="1:22" x14ac:dyDescent="0.3">
      <c r="A12" t="s">
        <v>36</v>
      </c>
      <c r="B12" t="s">
        <v>62</v>
      </c>
      <c r="C12">
        <v>3</v>
      </c>
      <c r="D12">
        <v>8</v>
      </c>
      <c r="E12">
        <v>0</v>
      </c>
      <c r="F12">
        <v>0.5</v>
      </c>
      <c r="G12">
        <v>3</v>
      </c>
      <c r="H12">
        <v>9</v>
      </c>
      <c r="I12">
        <v>0.5</v>
      </c>
      <c r="J12">
        <v>0.5</v>
      </c>
      <c r="K12">
        <v>0.5</v>
      </c>
      <c r="L12">
        <v>0.5</v>
      </c>
      <c r="M12">
        <v>0</v>
      </c>
      <c r="N12">
        <v>0.5</v>
      </c>
      <c r="O12">
        <v>0.5</v>
      </c>
      <c r="P12">
        <v>0.5</v>
      </c>
      <c r="Q12">
        <v>0</v>
      </c>
      <c r="R12">
        <v>0</v>
      </c>
      <c r="S12">
        <v>0.5</v>
      </c>
      <c r="T12">
        <v>0.5</v>
      </c>
      <c r="U12">
        <v>0</v>
      </c>
      <c r="V12">
        <v>0</v>
      </c>
    </row>
    <row r="13" spans="1:22" x14ac:dyDescent="0.3">
      <c r="A13" t="s">
        <v>64</v>
      </c>
      <c r="B13" t="s">
        <v>59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t="s">
        <v>64</v>
      </c>
      <c r="B14" t="s">
        <v>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t="s">
        <v>37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</v>
      </c>
      <c r="T15">
        <v>0.5</v>
      </c>
      <c r="U15">
        <v>0</v>
      </c>
      <c r="V15">
        <v>0</v>
      </c>
    </row>
    <row r="16" spans="1:22" x14ac:dyDescent="0.3">
      <c r="A16" t="s">
        <v>37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t="s">
        <v>37</v>
      </c>
      <c r="B17" t="s">
        <v>59</v>
      </c>
      <c r="C17">
        <v>0</v>
      </c>
      <c r="D17">
        <v>0</v>
      </c>
      <c r="E17">
        <v>0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4</v>
      </c>
      <c r="N17">
        <v>6</v>
      </c>
      <c r="O17">
        <v>8</v>
      </c>
      <c r="P17">
        <v>0</v>
      </c>
      <c r="Q17">
        <v>2</v>
      </c>
      <c r="R17">
        <v>1</v>
      </c>
      <c r="S17">
        <v>30</v>
      </c>
      <c r="T17">
        <v>15</v>
      </c>
      <c r="U17">
        <v>5</v>
      </c>
      <c r="V17">
        <v>15</v>
      </c>
    </row>
    <row r="18" spans="1:22" x14ac:dyDescent="0.3">
      <c r="A18" t="s">
        <v>37</v>
      </c>
      <c r="B18" t="s">
        <v>63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0.5</v>
      </c>
      <c r="T18">
        <v>0.5</v>
      </c>
      <c r="U18">
        <v>0</v>
      </c>
      <c r="V18">
        <v>0</v>
      </c>
    </row>
    <row r="19" spans="1:22" x14ac:dyDescent="0.3">
      <c r="A19" t="s">
        <v>37</v>
      </c>
      <c r="B19" t="s">
        <v>60</v>
      </c>
      <c r="C19">
        <v>0</v>
      </c>
      <c r="D19">
        <v>3</v>
      </c>
      <c r="E19">
        <v>6</v>
      </c>
      <c r="F19">
        <v>6</v>
      </c>
      <c r="G19">
        <v>3</v>
      </c>
      <c r="H19">
        <v>2</v>
      </c>
      <c r="I19">
        <v>1</v>
      </c>
      <c r="J19">
        <v>5</v>
      </c>
      <c r="K19">
        <v>0</v>
      </c>
      <c r="L19">
        <v>2</v>
      </c>
      <c r="M19">
        <v>4</v>
      </c>
      <c r="N19">
        <v>2</v>
      </c>
      <c r="O19">
        <v>1</v>
      </c>
      <c r="P19">
        <v>2</v>
      </c>
      <c r="Q19">
        <v>1</v>
      </c>
      <c r="R19">
        <v>2</v>
      </c>
      <c r="S19">
        <v>7</v>
      </c>
      <c r="T19">
        <v>6</v>
      </c>
      <c r="U19">
        <v>2</v>
      </c>
      <c r="V19">
        <v>5</v>
      </c>
    </row>
    <row r="20" spans="1:22" x14ac:dyDescent="0.3">
      <c r="A20" t="s">
        <v>37</v>
      </c>
      <c r="B20" t="s">
        <v>61</v>
      </c>
      <c r="C20">
        <v>427</v>
      </c>
      <c r="D20">
        <v>336</v>
      </c>
      <c r="E20">
        <v>382</v>
      </c>
      <c r="F20">
        <v>299</v>
      </c>
      <c r="G20">
        <v>385</v>
      </c>
      <c r="H20">
        <v>404</v>
      </c>
      <c r="I20">
        <v>129</v>
      </c>
      <c r="J20">
        <v>205</v>
      </c>
      <c r="K20">
        <v>0</v>
      </c>
      <c r="L20">
        <v>198</v>
      </c>
      <c r="M20">
        <v>274</v>
      </c>
      <c r="N20">
        <v>227</v>
      </c>
      <c r="O20">
        <v>147</v>
      </c>
      <c r="P20">
        <v>123</v>
      </c>
      <c r="Q20">
        <v>85</v>
      </c>
      <c r="R20">
        <v>73</v>
      </c>
      <c r="S20">
        <v>76</v>
      </c>
      <c r="T20">
        <v>60</v>
      </c>
      <c r="U20">
        <v>191</v>
      </c>
      <c r="V20">
        <v>144</v>
      </c>
    </row>
    <row r="21" spans="1:22" x14ac:dyDescent="0.3">
      <c r="A21" t="s">
        <v>37</v>
      </c>
      <c r="B21" t="s">
        <v>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</v>
      </c>
      <c r="T21">
        <v>0</v>
      </c>
      <c r="U21">
        <v>33</v>
      </c>
      <c r="V21">
        <v>6</v>
      </c>
    </row>
    <row r="22" spans="1:22" x14ac:dyDescent="0.3">
      <c r="A22" t="s">
        <v>42</v>
      </c>
      <c r="B22" t="s">
        <v>66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0.5</v>
      </c>
      <c r="V22">
        <v>0</v>
      </c>
    </row>
    <row r="23" spans="1:22" x14ac:dyDescent="0.3">
      <c r="A23" t="s">
        <v>42</v>
      </c>
      <c r="B23" t="s">
        <v>58</v>
      </c>
      <c r="C23">
        <v>0</v>
      </c>
      <c r="D23">
        <v>0</v>
      </c>
      <c r="E23">
        <v>20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t="s">
        <v>42</v>
      </c>
      <c r="B24" t="s">
        <v>59</v>
      </c>
      <c r="C24">
        <v>0</v>
      </c>
      <c r="D24">
        <v>0</v>
      </c>
      <c r="E24">
        <v>1</v>
      </c>
      <c r="F24">
        <v>0.5</v>
      </c>
      <c r="G24">
        <v>0</v>
      </c>
      <c r="H24">
        <v>1</v>
      </c>
      <c r="I24">
        <v>0.5</v>
      </c>
      <c r="J24">
        <v>0</v>
      </c>
      <c r="K24">
        <v>0</v>
      </c>
      <c r="L24">
        <v>3</v>
      </c>
      <c r="M24">
        <v>1</v>
      </c>
      <c r="N24">
        <v>0</v>
      </c>
      <c r="O24">
        <v>3</v>
      </c>
      <c r="P24">
        <v>1</v>
      </c>
      <c r="Q24">
        <v>0</v>
      </c>
      <c r="R24">
        <v>0.5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t="s">
        <v>42</v>
      </c>
      <c r="B25" t="s">
        <v>60</v>
      </c>
      <c r="C25">
        <v>0</v>
      </c>
      <c r="D25">
        <v>0</v>
      </c>
      <c r="E25">
        <v>0</v>
      </c>
      <c r="F25">
        <v>0</v>
      </c>
      <c r="G25">
        <v>0.5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42</v>
      </c>
      <c r="B26" t="s">
        <v>62</v>
      </c>
      <c r="C26">
        <v>0</v>
      </c>
      <c r="D26">
        <v>0</v>
      </c>
      <c r="E26">
        <v>0.5</v>
      </c>
      <c r="F26">
        <v>0</v>
      </c>
      <c r="G26">
        <v>0.5</v>
      </c>
      <c r="H26">
        <v>0</v>
      </c>
      <c r="I26">
        <v>0.5</v>
      </c>
      <c r="J26">
        <v>0</v>
      </c>
      <c r="K26">
        <v>1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</v>
      </c>
      <c r="V26">
        <v>0</v>
      </c>
    </row>
    <row r="27" spans="1:22" x14ac:dyDescent="0.3">
      <c r="A27" t="s">
        <v>45</v>
      </c>
      <c r="B27" t="s">
        <v>59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45</v>
      </c>
      <c r="B28" t="s">
        <v>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t="s">
        <v>45</v>
      </c>
      <c r="B29" t="s">
        <v>62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t="s">
        <v>46</v>
      </c>
      <c r="B30" t="s">
        <v>66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t="s">
        <v>46</v>
      </c>
      <c r="B31" t="s">
        <v>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t="s">
        <v>46</v>
      </c>
      <c r="B32" t="s">
        <v>59</v>
      </c>
      <c r="C32">
        <v>1</v>
      </c>
      <c r="D32">
        <v>2</v>
      </c>
      <c r="E32">
        <v>4</v>
      </c>
      <c r="F32">
        <v>1</v>
      </c>
      <c r="G32">
        <v>3</v>
      </c>
      <c r="H32">
        <v>6</v>
      </c>
      <c r="I32">
        <v>16</v>
      </c>
      <c r="J32">
        <v>19</v>
      </c>
      <c r="K32">
        <v>4</v>
      </c>
      <c r="L32">
        <v>13</v>
      </c>
      <c r="M32">
        <v>40</v>
      </c>
      <c r="N32">
        <v>29</v>
      </c>
      <c r="O32">
        <v>7</v>
      </c>
      <c r="P32">
        <v>3</v>
      </c>
      <c r="Q32">
        <v>1</v>
      </c>
      <c r="R32">
        <v>0</v>
      </c>
      <c r="S32">
        <v>3</v>
      </c>
      <c r="T32">
        <v>0</v>
      </c>
      <c r="U32">
        <v>0</v>
      </c>
      <c r="V32">
        <v>0</v>
      </c>
    </row>
    <row r="33" spans="1:22" x14ac:dyDescent="0.3">
      <c r="A33" t="s">
        <v>46</v>
      </c>
      <c r="B33" t="s">
        <v>63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t="s">
        <v>46</v>
      </c>
      <c r="B34" t="s">
        <v>60</v>
      </c>
      <c r="C34">
        <v>2</v>
      </c>
      <c r="D34">
        <v>4</v>
      </c>
      <c r="E34">
        <v>9</v>
      </c>
      <c r="F34">
        <v>7</v>
      </c>
      <c r="G34">
        <v>5</v>
      </c>
      <c r="H34">
        <v>8</v>
      </c>
      <c r="I34">
        <v>5</v>
      </c>
      <c r="J34">
        <v>3</v>
      </c>
      <c r="K34">
        <v>3</v>
      </c>
      <c r="L34">
        <v>2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</row>
    <row r="35" spans="1:22" x14ac:dyDescent="0.3">
      <c r="A35" t="s">
        <v>46</v>
      </c>
      <c r="B35" t="s">
        <v>61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607</v>
      </c>
      <c r="M35">
        <v>603</v>
      </c>
      <c r="N35">
        <v>718</v>
      </c>
      <c r="O35">
        <v>440</v>
      </c>
      <c r="P35">
        <v>396</v>
      </c>
      <c r="Q35">
        <v>329</v>
      </c>
      <c r="R35">
        <v>314</v>
      </c>
      <c r="S35">
        <v>224</v>
      </c>
      <c r="T35">
        <v>200</v>
      </c>
      <c r="U35">
        <v>239</v>
      </c>
      <c r="V35">
        <v>228</v>
      </c>
    </row>
    <row r="36" spans="1:22" x14ac:dyDescent="0.3">
      <c r="A36" t="s">
        <v>46</v>
      </c>
      <c r="B36" t="s">
        <v>62</v>
      </c>
      <c r="C36">
        <v>3</v>
      </c>
      <c r="D36">
        <v>3</v>
      </c>
      <c r="E36">
        <v>5</v>
      </c>
      <c r="F36">
        <v>4</v>
      </c>
      <c r="G36">
        <v>3</v>
      </c>
      <c r="H36">
        <v>2</v>
      </c>
      <c r="I36">
        <v>4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47</v>
      </c>
      <c r="B37" t="s">
        <v>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t="s">
        <v>47</v>
      </c>
      <c r="B38" t="s">
        <v>59</v>
      </c>
      <c r="C38">
        <v>0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t="s">
        <v>47</v>
      </c>
      <c r="B39" t="s">
        <v>60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t="s">
        <v>47</v>
      </c>
      <c r="B40" t="s">
        <v>62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0.5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</v>
      </c>
      <c r="S40">
        <v>0</v>
      </c>
      <c r="T40">
        <v>0</v>
      </c>
      <c r="U40">
        <v>6</v>
      </c>
      <c r="V40">
        <v>0</v>
      </c>
    </row>
    <row r="41" spans="1:22" x14ac:dyDescent="0.3">
      <c r="A41" t="s">
        <v>67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t="s">
        <v>51</v>
      </c>
      <c r="B42" t="s">
        <v>59</v>
      </c>
      <c r="C42">
        <v>2</v>
      </c>
      <c r="D42">
        <v>4</v>
      </c>
      <c r="E42">
        <v>4</v>
      </c>
      <c r="F42">
        <v>28</v>
      </c>
      <c r="G42">
        <v>16</v>
      </c>
      <c r="H42">
        <v>8</v>
      </c>
      <c r="I42">
        <v>2</v>
      </c>
      <c r="J42">
        <v>1</v>
      </c>
      <c r="K42">
        <v>1</v>
      </c>
      <c r="L42">
        <v>2</v>
      </c>
      <c r="M42">
        <v>0</v>
      </c>
      <c r="N42">
        <v>2</v>
      </c>
      <c r="O42">
        <v>0</v>
      </c>
      <c r="P42">
        <v>1</v>
      </c>
      <c r="Q42">
        <v>1</v>
      </c>
      <c r="R42">
        <v>0.5</v>
      </c>
      <c r="S42">
        <v>0.5</v>
      </c>
      <c r="T42">
        <v>0.5</v>
      </c>
      <c r="U42">
        <v>0</v>
      </c>
      <c r="V42">
        <v>0</v>
      </c>
    </row>
    <row r="43" spans="1:22" x14ac:dyDescent="0.3">
      <c r="A43" t="s">
        <v>51</v>
      </c>
      <c r="B43" t="s">
        <v>60</v>
      </c>
      <c r="C43">
        <v>8</v>
      </c>
      <c r="D43">
        <v>18</v>
      </c>
      <c r="E43">
        <v>8</v>
      </c>
      <c r="F43">
        <v>11</v>
      </c>
      <c r="G43">
        <v>14</v>
      </c>
      <c r="H43">
        <v>13</v>
      </c>
      <c r="I43">
        <v>14</v>
      </c>
      <c r="J43">
        <v>4</v>
      </c>
      <c r="K43">
        <v>3</v>
      </c>
      <c r="L43">
        <v>5</v>
      </c>
      <c r="M43">
        <v>3</v>
      </c>
      <c r="N43">
        <v>2</v>
      </c>
      <c r="O43">
        <v>3</v>
      </c>
      <c r="P43">
        <v>2</v>
      </c>
      <c r="Q43">
        <v>2</v>
      </c>
      <c r="R43">
        <v>1</v>
      </c>
      <c r="S43">
        <v>0</v>
      </c>
      <c r="T43">
        <v>1</v>
      </c>
      <c r="U43">
        <v>1</v>
      </c>
      <c r="V43">
        <v>1</v>
      </c>
    </row>
    <row r="44" spans="1:22" x14ac:dyDescent="0.3">
      <c r="A44" t="s">
        <v>51</v>
      </c>
      <c r="B44" t="s">
        <v>61</v>
      </c>
      <c r="C44">
        <v>60</v>
      </c>
      <c r="D44">
        <v>76</v>
      </c>
      <c r="E44">
        <v>39</v>
      </c>
      <c r="F44">
        <v>45</v>
      </c>
      <c r="G44">
        <v>42</v>
      </c>
      <c r="H44">
        <v>33</v>
      </c>
      <c r="I44">
        <v>19</v>
      </c>
      <c r="J44">
        <v>12</v>
      </c>
      <c r="K44">
        <v>8</v>
      </c>
      <c r="L44">
        <v>14</v>
      </c>
      <c r="M44">
        <v>12</v>
      </c>
      <c r="N44">
        <v>9</v>
      </c>
      <c r="O44">
        <v>5</v>
      </c>
      <c r="P44">
        <v>1</v>
      </c>
      <c r="Q44">
        <v>5</v>
      </c>
      <c r="R44">
        <v>3</v>
      </c>
      <c r="S44">
        <v>5</v>
      </c>
      <c r="T44">
        <v>3</v>
      </c>
      <c r="U44">
        <v>7</v>
      </c>
      <c r="V44">
        <v>5</v>
      </c>
    </row>
    <row r="45" spans="1:22" x14ac:dyDescent="0.3">
      <c r="A45" t="s">
        <v>51</v>
      </c>
      <c r="B45" t="s">
        <v>68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t="s">
        <v>51</v>
      </c>
      <c r="B46" t="s">
        <v>62</v>
      </c>
      <c r="C46">
        <v>0.5</v>
      </c>
      <c r="D46">
        <v>2</v>
      </c>
      <c r="E46">
        <v>2</v>
      </c>
      <c r="F46">
        <v>2</v>
      </c>
      <c r="G46">
        <v>0.5</v>
      </c>
      <c r="H46">
        <v>0.5</v>
      </c>
      <c r="I46">
        <v>0.5</v>
      </c>
      <c r="J46">
        <v>0.5</v>
      </c>
      <c r="K46">
        <v>0.5</v>
      </c>
      <c r="L46">
        <v>0.5</v>
      </c>
      <c r="M46">
        <v>4</v>
      </c>
      <c r="N46">
        <v>0</v>
      </c>
      <c r="O46">
        <v>0</v>
      </c>
      <c r="P46">
        <v>1</v>
      </c>
      <c r="Q46">
        <v>0</v>
      </c>
      <c r="R46">
        <v>0.5</v>
      </c>
      <c r="S46">
        <v>0.5</v>
      </c>
      <c r="T46">
        <v>0.5</v>
      </c>
      <c r="U46">
        <v>0.5</v>
      </c>
      <c r="V46">
        <v>0</v>
      </c>
    </row>
    <row r="47" spans="1:22" x14ac:dyDescent="0.3">
      <c r="A47" t="s">
        <v>52</v>
      </c>
      <c r="B47" t="s">
        <v>58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t="s">
        <v>52</v>
      </c>
      <c r="B48" t="s">
        <v>59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 t="s">
        <v>52</v>
      </c>
      <c r="B49" t="s">
        <v>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t="s">
        <v>52</v>
      </c>
      <c r="B50" t="s">
        <v>61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52</v>
      </c>
      <c r="B51" t="s">
        <v>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t="s">
        <v>53</v>
      </c>
      <c r="B52" t="s">
        <v>59</v>
      </c>
      <c r="C52">
        <v>0.5</v>
      </c>
      <c r="D52">
        <v>0.5</v>
      </c>
      <c r="E52">
        <v>1</v>
      </c>
      <c r="F52">
        <v>0</v>
      </c>
      <c r="G52">
        <v>0.5</v>
      </c>
      <c r="H52">
        <v>3</v>
      </c>
      <c r="I52">
        <v>5</v>
      </c>
      <c r="J52">
        <v>0.5</v>
      </c>
      <c r="K52">
        <v>1</v>
      </c>
      <c r="L52">
        <v>0.5</v>
      </c>
      <c r="M52">
        <v>0</v>
      </c>
      <c r="N52">
        <v>3</v>
      </c>
      <c r="O52">
        <v>1</v>
      </c>
      <c r="P52">
        <v>0</v>
      </c>
      <c r="Q52">
        <v>0</v>
      </c>
      <c r="R52">
        <v>0.5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t="s">
        <v>53</v>
      </c>
      <c r="B53" t="s">
        <v>63</v>
      </c>
      <c r="C53">
        <v>0</v>
      </c>
      <c r="D53">
        <v>0.5</v>
      </c>
      <c r="E53">
        <v>0</v>
      </c>
      <c r="F53">
        <v>0</v>
      </c>
      <c r="G53">
        <v>0</v>
      </c>
      <c r="H53">
        <v>0.5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t="s">
        <v>53</v>
      </c>
      <c r="B54" t="s">
        <v>60</v>
      </c>
      <c r="C54">
        <v>0</v>
      </c>
      <c r="D54">
        <v>0</v>
      </c>
      <c r="E54">
        <v>0.5</v>
      </c>
      <c r="F54">
        <v>0</v>
      </c>
      <c r="G54">
        <v>0.5</v>
      </c>
      <c r="H54">
        <v>0.5</v>
      </c>
      <c r="I54">
        <v>0.5</v>
      </c>
      <c r="J54">
        <v>0.5</v>
      </c>
      <c r="K54">
        <v>0.5</v>
      </c>
      <c r="L54">
        <v>0.5</v>
      </c>
      <c r="M54">
        <v>0</v>
      </c>
      <c r="N54">
        <v>0.5</v>
      </c>
      <c r="O54">
        <v>0.5</v>
      </c>
      <c r="P54">
        <v>0</v>
      </c>
      <c r="Q54">
        <v>0</v>
      </c>
      <c r="R54">
        <v>0.5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t="s">
        <v>53</v>
      </c>
      <c r="B55" t="s">
        <v>61</v>
      </c>
      <c r="C55">
        <v>0</v>
      </c>
      <c r="D55">
        <v>0</v>
      </c>
      <c r="E55">
        <v>1</v>
      </c>
      <c r="F55">
        <v>0</v>
      </c>
      <c r="G55">
        <v>1</v>
      </c>
      <c r="H55">
        <v>2</v>
      </c>
      <c r="I55">
        <v>0</v>
      </c>
      <c r="J55">
        <v>0</v>
      </c>
      <c r="K55">
        <v>0</v>
      </c>
      <c r="L55">
        <v>4</v>
      </c>
      <c r="M55">
        <v>1</v>
      </c>
      <c r="N55">
        <v>6</v>
      </c>
      <c r="O55">
        <v>7</v>
      </c>
      <c r="P55">
        <v>5</v>
      </c>
      <c r="Q55">
        <v>5</v>
      </c>
      <c r="R55">
        <v>6</v>
      </c>
      <c r="S55">
        <v>2</v>
      </c>
      <c r="T55">
        <v>0.5</v>
      </c>
      <c r="U55">
        <v>0</v>
      </c>
      <c r="V55">
        <v>0</v>
      </c>
    </row>
    <row r="56" spans="1:22" x14ac:dyDescent="0.3">
      <c r="A56" t="s">
        <v>53</v>
      </c>
      <c r="B56" t="s">
        <v>62</v>
      </c>
      <c r="C56">
        <v>0.5</v>
      </c>
      <c r="D56">
        <v>0.5</v>
      </c>
      <c r="E56">
        <v>0</v>
      </c>
      <c r="F56">
        <v>0</v>
      </c>
      <c r="G56">
        <v>0.5</v>
      </c>
      <c r="H56">
        <v>0.5</v>
      </c>
      <c r="I56">
        <v>0</v>
      </c>
      <c r="J56">
        <v>6</v>
      </c>
      <c r="K56">
        <v>0.5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</v>
      </c>
      <c r="S56">
        <v>0</v>
      </c>
      <c r="T56">
        <v>0.5</v>
      </c>
      <c r="U56">
        <v>0</v>
      </c>
      <c r="V56">
        <v>0</v>
      </c>
    </row>
    <row r="57" spans="1:22" x14ac:dyDescent="0.3">
      <c r="A57" t="s">
        <v>54</v>
      </c>
      <c r="B57" t="s">
        <v>59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t="s">
        <v>54</v>
      </c>
      <c r="B58" t="s">
        <v>62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60" spans="1:22" x14ac:dyDescent="0.3">
      <c r="A60" t="s">
        <v>56</v>
      </c>
      <c r="C60">
        <f>SUM(C2:C58)</f>
        <v>697</v>
      </c>
      <c r="D60">
        <f t="shared" ref="D60:V60" si="0">SUM(D2:D58)</f>
        <v>630.5</v>
      </c>
      <c r="E60">
        <f t="shared" si="0"/>
        <v>635</v>
      </c>
      <c r="F60">
        <f t="shared" si="0"/>
        <v>516.5</v>
      </c>
      <c r="G60">
        <f t="shared" si="0"/>
        <v>561</v>
      </c>
      <c r="H60">
        <f t="shared" si="0"/>
        <v>626.5</v>
      </c>
      <c r="I60">
        <f t="shared" si="0"/>
        <v>267</v>
      </c>
      <c r="J60">
        <f t="shared" si="0"/>
        <v>327.5</v>
      </c>
      <c r="K60">
        <f t="shared" si="0"/>
        <v>589</v>
      </c>
      <c r="L60">
        <f>SUM(L2:L58)</f>
        <v>1161</v>
      </c>
      <c r="M60">
        <f t="shared" si="0"/>
        <v>1362</v>
      </c>
      <c r="N60">
        <f t="shared" si="0"/>
        <v>1128</v>
      </c>
      <c r="O60">
        <f t="shared" si="0"/>
        <v>676</v>
      </c>
      <c r="P60">
        <f t="shared" si="0"/>
        <v>580</v>
      </c>
      <c r="Q60">
        <f t="shared" si="0"/>
        <v>466</v>
      </c>
      <c r="R60">
        <f t="shared" si="0"/>
        <v>436.5</v>
      </c>
      <c r="S60">
        <f t="shared" si="0"/>
        <v>382.5</v>
      </c>
      <c r="T60">
        <f t="shared" si="0"/>
        <v>341</v>
      </c>
      <c r="U60">
        <f t="shared" si="0"/>
        <v>550.5</v>
      </c>
      <c r="V60">
        <f t="shared" si="0"/>
        <v>456</v>
      </c>
    </row>
    <row r="61" spans="1:22" x14ac:dyDescent="0.3">
      <c r="A61" t="s">
        <v>55</v>
      </c>
      <c r="L61">
        <v>607</v>
      </c>
      <c r="M61">
        <v>603</v>
      </c>
      <c r="N61">
        <v>718</v>
      </c>
      <c r="O61">
        <v>440</v>
      </c>
      <c r="P61">
        <v>396</v>
      </c>
      <c r="Q61">
        <v>329</v>
      </c>
      <c r="R61">
        <v>314</v>
      </c>
      <c r="S61">
        <v>224</v>
      </c>
      <c r="T61">
        <v>200</v>
      </c>
      <c r="U61">
        <v>239</v>
      </c>
      <c r="V61">
        <v>228</v>
      </c>
    </row>
    <row r="62" spans="1:22" x14ac:dyDescent="0.3">
      <c r="A62" t="s">
        <v>69</v>
      </c>
      <c r="B62">
        <f xml:space="preserve"> AVERAGE(L62:V62)</f>
        <v>0.58794331946223588</v>
      </c>
      <c r="L62">
        <f>L61/L60</f>
        <v>0.52282515073212743</v>
      </c>
      <c r="M62">
        <f t="shared" ref="M62:V62" si="1">M61/M60</f>
        <v>0.44273127753303965</v>
      </c>
      <c r="N62">
        <f t="shared" si="1"/>
        <v>0.63652482269503541</v>
      </c>
      <c r="O62">
        <f t="shared" si="1"/>
        <v>0.65088757396449703</v>
      </c>
      <c r="P62">
        <f t="shared" si="1"/>
        <v>0.6827586206896552</v>
      </c>
      <c r="Q62">
        <f t="shared" si="1"/>
        <v>0.70600858369098718</v>
      </c>
      <c r="R62">
        <f t="shared" si="1"/>
        <v>0.71935853379152348</v>
      </c>
      <c r="S62">
        <f t="shared" si="1"/>
        <v>0.58562091503267977</v>
      </c>
      <c r="T62">
        <f t="shared" si="1"/>
        <v>0.5865102639296188</v>
      </c>
      <c r="U62">
        <f t="shared" si="1"/>
        <v>0.43415077202543145</v>
      </c>
      <c r="V62">
        <f t="shared" si="1"/>
        <v>0.5</v>
      </c>
    </row>
    <row r="63" spans="1:22" x14ac:dyDescent="0.3">
      <c r="C63">
        <f t="shared" ref="C63:J63" si="2">C60/(1-$B$62)</f>
        <v>1691.5148641453015</v>
      </c>
      <c r="D63">
        <f t="shared" si="2"/>
        <v>1530.1292996321558</v>
      </c>
      <c r="E63">
        <f t="shared" si="2"/>
        <v>1541.0501273059776</v>
      </c>
      <c r="F63">
        <f t="shared" si="2"/>
        <v>1253.4683318953346</v>
      </c>
      <c r="G63">
        <f t="shared" si="2"/>
        <v>1361.4631833364622</v>
      </c>
      <c r="H63">
        <f t="shared" si="2"/>
        <v>1520.4218972554254</v>
      </c>
      <c r="I63">
        <f t="shared" si="2"/>
        <v>647.96910864676545</v>
      </c>
      <c r="J63">
        <f t="shared" si="2"/>
        <v>794.79356959481527</v>
      </c>
      <c r="K63">
        <f>K60/(1-$B$62)</f>
        <v>1429.4149999735762</v>
      </c>
    </row>
    <row r="65" spans="3:14" x14ac:dyDescent="0.3">
      <c r="C65">
        <v>1691.5148641453015</v>
      </c>
      <c r="D65">
        <v>1530.1292996321558</v>
      </c>
      <c r="E65">
        <v>1541.0501273059776</v>
      </c>
      <c r="F65">
        <v>1253.4683318953346</v>
      </c>
      <c r="G65">
        <v>1361.4631833364622</v>
      </c>
      <c r="H65">
        <v>1520.4218972554254</v>
      </c>
      <c r="I65">
        <v>647.96910864676545</v>
      </c>
      <c r="J65">
        <v>794.79356959481527</v>
      </c>
      <c r="K65">
        <v>1429.4149999735762</v>
      </c>
      <c r="L65">
        <v>1161</v>
      </c>
      <c r="M65">
        <v>1362</v>
      </c>
      <c r="N65">
        <v>1128</v>
      </c>
    </row>
    <row r="67" spans="3:14" x14ac:dyDescent="0.3">
      <c r="C67">
        <v>1691.5148641453015</v>
      </c>
    </row>
    <row r="68" spans="3:14" x14ac:dyDescent="0.3">
      <c r="C68">
        <v>1530.1292996321558</v>
      </c>
    </row>
    <row r="69" spans="3:14" x14ac:dyDescent="0.3">
      <c r="C69">
        <v>1541.0501273059776</v>
      </c>
    </row>
    <row r="70" spans="3:14" x14ac:dyDescent="0.3">
      <c r="C70">
        <v>1253.4683318953346</v>
      </c>
    </row>
    <row r="71" spans="3:14" x14ac:dyDescent="0.3">
      <c r="C71">
        <v>1361.4631833364622</v>
      </c>
    </row>
    <row r="72" spans="3:14" x14ac:dyDescent="0.3">
      <c r="C72">
        <v>1520.4218972554254</v>
      </c>
    </row>
    <row r="73" spans="3:14" x14ac:dyDescent="0.3">
      <c r="C73">
        <v>647.96910864676545</v>
      </c>
    </row>
    <row r="74" spans="3:14" x14ac:dyDescent="0.3">
      <c r="C74">
        <v>794.79356959481527</v>
      </c>
    </row>
    <row r="75" spans="3:14" x14ac:dyDescent="0.3">
      <c r="C75">
        <v>1429.4149999735762</v>
      </c>
    </row>
    <row r="76" spans="3:14" x14ac:dyDescent="0.3">
      <c r="C76">
        <v>1161</v>
      </c>
    </row>
    <row r="77" spans="3:14" x14ac:dyDescent="0.3">
      <c r="C77">
        <v>1362</v>
      </c>
    </row>
    <row r="78" spans="3:14" x14ac:dyDescent="0.3">
      <c r="C78">
        <v>1128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47B4-AB7C-4882-ADE7-4F231A8CB22F}">
  <sheetPr filterMode="1"/>
  <dimension ref="A1:V38"/>
  <sheetViews>
    <sheetView workbookViewId="0">
      <selection activeCell="C5" sqref="C5:N5"/>
    </sheetView>
  </sheetViews>
  <sheetFormatPr defaultRowHeight="14.4" x14ac:dyDescent="0.3"/>
  <cols>
    <col min="2" max="2" width="24.21875" bestFit="1" customWidth="1"/>
  </cols>
  <sheetData>
    <row r="1" spans="1:22" x14ac:dyDescent="0.3">
      <c r="A1" t="s">
        <v>25</v>
      </c>
      <c r="B1" t="s">
        <v>26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</row>
    <row r="2" spans="1:22" hidden="1" x14ac:dyDescent="0.3">
      <c r="A2" t="s">
        <v>27</v>
      </c>
      <c r="B2" t="s">
        <v>70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27</v>
      </c>
      <c r="B3" t="s">
        <v>71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idden="1" x14ac:dyDescent="0.3">
      <c r="A4" t="s">
        <v>27</v>
      </c>
      <c r="B4" t="s">
        <v>72</v>
      </c>
      <c r="C4">
        <v>4</v>
      </c>
      <c r="D4">
        <v>4</v>
      </c>
      <c r="E4">
        <v>10</v>
      </c>
      <c r="F4">
        <v>14</v>
      </c>
      <c r="G4">
        <v>7</v>
      </c>
      <c r="H4">
        <v>4</v>
      </c>
      <c r="I4">
        <v>2</v>
      </c>
      <c r="J4">
        <v>1</v>
      </c>
      <c r="K4">
        <v>1</v>
      </c>
      <c r="L4">
        <v>0</v>
      </c>
      <c r="M4">
        <v>2</v>
      </c>
      <c r="N4">
        <v>5</v>
      </c>
      <c r="O4">
        <v>1</v>
      </c>
      <c r="P4">
        <v>0</v>
      </c>
      <c r="Q4">
        <v>0</v>
      </c>
      <c r="R4">
        <v>0</v>
      </c>
      <c r="S4">
        <v>0.5</v>
      </c>
      <c r="T4">
        <v>0</v>
      </c>
      <c r="U4">
        <v>0.5</v>
      </c>
      <c r="V4">
        <v>0</v>
      </c>
    </row>
    <row r="5" spans="1:22" x14ac:dyDescent="0.3">
      <c r="A5" t="s">
        <v>36</v>
      </c>
      <c r="B5" t="s">
        <v>71</v>
      </c>
      <c r="C5">
        <v>2586</v>
      </c>
      <c r="D5">
        <v>4744</v>
      </c>
      <c r="E5">
        <v>3797</v>
      </c>
      <c r="F5">
        <v>1984</v>
      </c>
      <c r="G5">
        <v>4101</v>
      </c>
      <c r="H5">
        <v>2347</v>
      </c>
      <c r="I5">
        <v>130</v>
      </c>
      <c r="J5">
        <v>2026</v>
      </c>
      <c r="K5">
        <v>11516</v>
      </c>
      <c r="L5">
        <v>4112</v>
      </c>
      <c r="M5">
        <v>1399</v>
      </c>
      <c r="N5">
        <v>2820</v>
      </c>
      <c r="O5">
        <v>0</v>
      </c>
      <c r="P5">
        <v>0</v>
      </c>
      <c r="Q5">
        <v>78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hidden="1" x14ac:dyDescent="0.3">
      <c r="A6" t="s">
        <v>36</v>
      </c>
      <c r="B6" t="s">
        <v>73</v>
      </c>
      <c r="C6">
        <v>0</v>
      </c>
      <c r="D6">
        <v>0</v>
      </c>
      <c r="E6">
        <v>0</v>
      </c>
      <c r="F6">
        <v>0</v>
      </c>
      <c r="G6">
        <v>0</v>
      </c>
      <c r="H6">
        <v>0.5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hidden="1" x14ac:dyDescent="0.3">
      <c r="A7" t="s">
        <v>36</v>
      </c>
      <c r="B7" t="s">
        <v>74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</v>
      </c>
      <c r="T7">
        <v>0.5</v>
      </c>
      <c r="U7">
        <v>0.5</v>
      </c>
      <c r="V7">
        <v>0</v>
      </c>
    </row>
    <row r="8" spans="1:22" hidden="1" x14ac:dyDescent="0.3">
      <c r="A8" t="s">
        <v>37</v>
      </c>
      <c r="B8" t="s">
        <v>75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37</v>
      </c>
      <c r="B9" t="s">
        <v>71</v>
      </c>
      <c r="C9">
        <v>16</v>
      </c>
      <c r="D9">
        <v>7</v>
      </c>
      <c r="E9">
        <v>19</v>
      </c>
      <c r="F9">
        <v>13</v>
      </c>
      <c r="G9">
        <v>38</v>
      </c>
      <c r="H9">
        <v>207</v>
      </c>
      <c r="I9">
        <v>269</v>
      </c>
      <c r="J9">
        <v>155</v>
      </c>
      <c r="K9">
        <v>0</v>
      </c>
      <c r="L9">
        <v>18</v>
      </c>
      <c r="M9">
        <v>93</v>
      </c>
      <c r="N9">
        <v>9</v>
      </c>
      <c r="O9">
        <v>11</v>
      </c>
      <c r="P9">
        <v>8</v>
      </c>
      <c r="Q9">
        <v>73</v>
      </c>
      <c r="R9">
        <v>445</v>
      </c>
      <c r="S9">
        <v>89</v>
      </c>
      <c r="T9">
        <v>99</v>
      </c>
      <c r="U9">
        <v>109</v>
      </c>
      <c r="V9">
        <v>66</v>
      </c>
    </row>
    <row r="10" spans="1:22" hidden="1" x14ac:dyDescent="0.3">
      <c r="A10" t="s">
        <v>37</v>
      </c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25</v>
      </c>
      <c r="S10">
        <v>20</v>
      </c>
      <c r="T10">
        <v>19</v>
      </c>
      <c r="U10">
        <v>33</v>
      </c>
      <c r="V10">
        <v>34</v>
      </c>
    </row>
    <row r="11" spans="1:22" hidden="1" x14ac:dyDescent="0.3">
      <c r="A11" t="s">
        <v>37</v>
      </c>
      <c r="B11" t="s">
        <v>76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</v>
      </c>
      <c r="T11">
        <v>3</v>
      </c>
      <c r="U11">
        <v>3</v>
      </c>
      <c r="V11">
        <v>0</v>
      </c>
    </row>
    <row r="12" spans="1:22" hidden="1" x14ac:dyDescent="0.3">
      <c r="A12" t="s">
        <v>37</v>
      </c>
      <c r="B12" t="s">
        <v>72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hidden="1" x14ac:dyDescent="0.3">
      <c r="A13" t="s">
        <v>37</v>
      </c>
      <c r="B13" t="s">
        <v>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0.5</v>
      </c>
      <c r="T13">
        <v>0</v>
      </c>
      <c r="U13">
        <v>0</v>
      </c>
      <c r="V13">
        <v>0</v>
      </c>
    </row>
    <row r="14" spans="1:22" x14ac:dyDescent="0.3">
      <c r="A14" t="s">
        <v>42</v>
      </c>
      <c r="B14" t="s">
        <v>71</v>
      </c>
      <c r="C14">
        <v>0</v>
      </c>
      <c r="D14">
        <v>0</v>
      </c>
      <c r="E14">
        <v>0</v>
      </c>
      <c r="F14">
        <v>0</v>
      </c>
      <c r="G14">
        <v>0.5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</v>
      </c>
      <c r="S14">
        <v>0</v>
      </c>
      <c r="T14">
        <v>0</v>
      </c>
      <c r="U14">
        <v>0</v>
      </c>
      <c r="V14">
        <v>0</v>
      </c>
    </row>
    <row r="15" spans="1:22" hidden="1" x14ac:dyDescent="0.3">
      <c r="A15" t="s">
        <v>45</v>
      </c>
      <c r="B15" t="s">
        <v>73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hidden="1" x14ac:dyDescent="0.3">
      <c r="A16" t="s">
        <v>46</v>
      </c>
      <c r="B16" t="s">
        <v>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hidden="1" x14ac:dyDescent="0.3">
      <c r="A17" t="s">
        <v>46</v>
      </c>
      <c r="B17" t="s">
        <v>75</v>
      </c>
      <c r="C17">
        <v>0</v>
      </c>
      <c r="D17">
        <v>0</v>
      </c>
      <c r="E17">
        <v>24</v>
      </c>
      <c r="F17">
        <v>3</v>
      </c>
      <c r="G17">
        <v>20</v>
      </c>
      <c r="H17">
        <v>6</v>
      </c>
      <c r="I17">
        <v>1</v>
      </c>
      <c r="J17">
        <v>7</v>
      </c>
      <c r="K17">
        <v>3</v>
      </c>
      <c r="L17">
        <v>0</v>
      </c>
      <c r="M17">
        <v>3</v>
      </c>
      <c r="N17">
        <v>4</v>
      </c>
      <c r="O17">
        <v>4</v>
      </c>
      <c r="P17">
        <v>3</v>
      </c>
      <c r="Q17">
        <v>3</v>
      </c>
      <c r="R17">
        <v>4</v>
      </c>
      <c r="S17">
        <v>9</v>
      </c>
      <c r="T17">
        <v>3</v>
      </c>
      <c r="U17">
        <v>1</v>
      </c>
      <c r="V17">
        <v>1</v>
      </c>
    </row>
    <row r="18" spans="1:22" x14ac:dyDescent="0.3">
      <c r="A18" t="s">
        <v>46</v>
      </c>
      <c r="B18" t="s">
        <v>71</v>
      </c>
      <c r="C18">
        <v>0</v>
      </c>
      <c r="D18">
        <v>0</v>
      </c>
      <c r="E18">
        <v>0</v>
      </c>
      <c r="F18">
        <v>0</v>
      </c>
      <c r="G18">
        <v>0</v>
      </c>
      <c r="H18">
        <v>7</v>
      </c>
      <c r="I18">
        <v>101</v>
      </c>
      <c r="J18">
        <v>1034</v>
      </c>
      <c r="K18">
        <v>592</v>
      </c>
      <c r="L18">
        <v>252</v>
      </c>
      <c r="M18">
        <v>61</v>
      </c>
      <c r="N18">
        <v>741</v>
      </c>
      <c r="O18">
        <v>977</v>
      </c>
      <c r="P18">
        <v>277</v>
      </c>
      <c r="Q18">
        <v>22</v>
      </c>
      <c r="R18">
        <v>0</v>
      </c>
      <c r="S18">
        <v>14</v>
      </c>
      <c r="T18">
        <v>340</v>
      </c>
      <c r="U18">
        <v>9</v>
      </c>
      <c r="V18">
        <v>2</v>
      </c>
    </row>
    <row r="19" spans="1:22" hidden="1" x14ac:dyDescent="0.3">
      <c r="A19" t="s">
        <v>46</v>
      </c>
      <c r="B19" t="s">
        <v>73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16</v>
      </c>
      <c r="L19">
        <v>73</v>
      </c>
      <c r="M19">
        <v>109</v>
      </c>
      <c r="N19">
        <v>257</v>
      </c>
      <c r="O19">
        <v>198</v>
      </c>
      <c r="P19">
        <v>19</v>
      </c>
      <c r="Q19">
        <v>142</v>
      </c>
      <c r="R19">
        <v>211</v>
      </c>
      <c r="S19">
        <v>22</v>
      </c>
      <c r="T19">
        <v>176</v>
      </c>
      <c r="U19">
        <v>363</v>
      </c>
      <c r="V19">
        <v>399</v>
      </c>
    </row>
    <row r="20" spans="1:22" hidden="1" x14ac:dyDescent="0.3">
      <c r="A20" t="s">
        <v>46</v>
      </c>
      <c r="B20" t="s">
        <v>74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18</v>
      </c>
      <c r="S20">
        <v>15</v>
      </c>
      <c r="T20">
        <v>6</v>
      </c>
      <c r="U20">
        <v>7</v>
      </c>
      <c r="V20">
        <v>37</v>
      </c>
    </row>
    <row r="21" spans="1:22" hidden="1" x14ac:dyDescent="0.3">
      <c r="A21" t="s">
        <v>46</v>
      </c>
      <c r="B21" t="s">
        <v>72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t="s">
        <v>67</v>
      </c>
      <c r="B22" t="s">
        <v>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t="s">
        <v>50</v>
      </c>
      <c r="B23" t="s">
        <v>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1031</v>
      </c>
      <c r="N23">
        <v>142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hidden="1" x14ac:dyDescent="0.3">
      <c r="A24" t="s">
        <v>51</v>
      </c>
      <c r="B24" t="s">
        <v>70</v>
      </c>
      <c r="C24">
        <v>26</v>
      </c>
      <c r="D24">
        <v>2</v>
      </c>
      <c r="E24">
        <v>3</v>
      </c>
      <c r="F24">
        <v>5</v>
      </c>
      <c r="G24">
        <v>4</v>
      </c>
      <c r="H24">
        <v>3</v>
      </c>
      <c r="I24">
        <v>17</v>
      </c>
      <c r="J24">
        <v>4</v>
      </c>
      <c r="K24">
        <v>0</v>
      </c>
      <c r="L24">
        <v>0.5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hidden="1" x14ac:dyDescent="0.3">
      <c r="A25" t="s">
        <v>51</v>
      </c>
      <c r="B25" t="s">
        <v>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</v>
      </c>
      <c r="O25">
        <v>0</v>
      </c>
      <c r="P25">
        <v>0</v>
      </c>
      <c r="Q25">
        <v>0</v>
      </c>
      <c r="R25">
        <v>0.5</v>
      </c>
      <c r="S25">
        <v>0.5</v>
      </c>
      <c r="T25">
        <v>0.5</v>
      </c>
      <c r="U25">
        <v>0</v>
      </c>
      <c r="V25">
        <v>0</v>
      </c>
    </row>
    <row r="26" spans="1:22" x14ac:dyDescent="0.3">
      <c r="A26" t="s">
        <v>51</v>
      </c>
      <c r="B26" t="s">
        <v>71</v>
      </c>
      <c r="C26">
        <v>0</v>
      </c>
      <c r="D26">
        <v>0</v>
      </c>
      <c r="E26">
        <v>0</v>
      </c>
      <c r="F26">
        <v>0</v>
      </c>
      <c r="G26">
        <v>0</v>
      </c>
      <c r="H26">
        <v>0.5</v>
      </c>
      <c r="I26">
        <v>120</v>
      </c>
      <c r="J26">
        <v>0</v>
      </c>
      <c r="K26">
        <v>0</v>
      </c>
      <c r="L26">
        <v>5</v>
      </c>
      <c r="M26">
        <v>52</v>
      </c>
      <c r="N26">
        <v>1268</v>
      </c>
      <c r="O26">
        <v>711</v>
      </c>
      <c r="P26">
        <v>0</v>
      </c>
      <c r="Q26">
        <v>0</v>
      </c>
      <c r="R26">
        <v>0.5</v>
      </c>
      <c r="S26">
        <v>4</v>
      </c>
      <c r="T26">
        <v>0.5</v>
      </c>
      <c r="U26">
        <v>0.5</v>
      </c>
      <c r="V26">
        <v>0</v>
      </c>
    </row>
    <row r="27" spans="1:22" hidden="1" x14ac:dyDescent="0.3">
      <c r="A27" t="s">
        <v>51</v>
      </c>
      <c r="B27" t="s">
        <v>73</v>
      </c>
      <c r="C27">
        <v>2</v>
      </c>
      <c r="D27">
        <v>3</v>
      </c>
      <c r="E27">
        <v>1</v>
      </c>
      <c r="F27">
        <v>9</v>
      </c>
      <c r="G27">
        <v>5</v>
      </c>
      <c r="H27">
        <v>3</v>
      </c>
      <c r="I27">
        <v>3</v>
      </c>
      <c r="J27">
        <v>0.5</v>
      </c>
      <c r="K27">
        <v>0.5</v>
      </c>
      <c r="L27">
        <v>0.5</v>
      </c>
      <c r="M27">
        <v>0</v>
      </c>
      <c r="N27">
        <v>10</v>
      </c>
      <c r="O27">
        <v>6</v>
      </c>
      <c r="P27">
        <v>0.5</v>
      </c>
      <c r="Q27">
        <v>0</v>
      </c>
      <c r="R27">
        <v>0.5</v>
      </c>
      <c r="S27">
        <v>0.5</v>
      </c>
      <c r="T27">
        <v>0.5</v>
      </c>
      <c r="U27">
        <v>6</v>
      </c>
      <c r="V27">
        <v>4</v>
      </c>
    </row>
    <row r="28" spans="1:22" hidden="1" x14ac:dyDescent="0.3">
      <c r="A28" t="s">
        <v>51</v>
      </c>
      <c r="B28" t="s">
        <v>78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8</v>
      </c>
      <c r="S28">
        <v>0</v>
      </c>
      <c r="T28">
        <v>0.5</v>
      </c>
      <c r="U28">
        <v>0.5</v>
      </c>
      <c r="V28">
        <v>0</v>
      </c>
    </row>
    <row r="29" spans="1:22" hidden="1" x14ac:dyDescent="0.3">
      <c r="A29" t="s">
        <v>51</v>
      </c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0.5</v>
      </c>
      <c r="T29">
        <v>0</v>
      </c>
      <c r="U29">
        <v>0</v>
      </c>
      <c r="V29">
        <v>0</v>
      </c>
    </row>
    <row r="30" spans="1:22" hidden="1" x14ac:dyDescent="0.3">
      <c r="A30" t="s">
        <v>51</v>
      </c>
      <c r="B30" t="s">
        <v>80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</v>
      </c>
      <c r="P30">
        <v>9</v>
      </c>
      <c r="Q30">
        <v>10</v>
      </c>
      <c r="R30">
        <v>0</v>
      </c>
      <c r="S30">
        <v>1</v>
      </c>
      <c r="T30">
        <v>0</v>
      </c>
      <c r="U30">
        <v>0</v>
      </c>
      <c r="V30">
        <v>0</v>
      </c>
    </row>
    <row r="31" spans="1:22" hidden="1" x14ac:dyDescent="0.3">
      <c r="A31" t="s">
        <v>52</v>
      </c>
      <c r="B31" t="s">
        <v>81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hidden="1" x14ac:dyDescent="0.3">
      <c r="A32" t="s">
        <v>52</v>
      </c>
      <c r="B32" t="s">
        <v>70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t="s">
        <v>52</v>
      </c>
      <c r="B33" t="s">
        <v>71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hidden="1" x14ac:dyDescent="0.3">
      <c r="A34" t="s">
        <v>52</v>
      </c>
      <c r="B34" t="s">
        <v>82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hidden="1" x14ac:dyDescent="0.3">
      <c r="A35" t="s">
        <v>52</v>
      </c>
      <c r="B35" t="s">
        <v>72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hidden="1" x14ac:dyDescent="0.3">
      <c r="A36" t="s">
        <v>52</v>
      </c>
      <c r="B36" t="s">
        <v>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8" spans="1:22" x14ac:dyDescent="0.3">
      <c r="V38">
        <f t="shared" ref="V38" si="0">SUM(V2:V36)</f>
        <v>543</v>
      </c>
    </row>
  </sheetData>
  <autoFilter ref="A1:V36" xr:uid="{38DE47B4-AB7C-4882-ADE7-4F231A8CB22F}">
    <filterColumn colId="1">
      <filters>
        <filter val="European pilchard(=Sardine)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zoomScale="55" zoomScaleNormal="55" workbookViewId="0">
      <selection activeCell="E14" sqref="E14:X28"/>
    </sheetView>
  </sheetViews>
  <sheetFormatPr defaultRowHeight="14.4" x14ac:dyDescent="0.3"/>
  <cols>
    <col min="13" max="13" width="8.88671875" style="4"/>
  </cols>
  <sheetData>
    <row r="1" spans="1:26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136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4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">
      <c r="A2">
        <v>1991</v>
      </c>
      <c r="B2">
        <v>9133</v>
      </c>
      <c r="C2">
        <v>7873</v>
      </c>
      <c r="D2">
        <v>606</v>
      </c>
      <c r="E2">
        <v>874</v>
      </c>
      <c r="G2">
        <v>3731.5</v>
      </c>
      <c r="H2">
        <v>11864</v>
      </c>
      <c r="I2">
        <v>2440</v>
      </c>
      <c r="J2">
        <v>48747</v>
      </c>
      <c r="K2">
        <v>1714</v>
      </c>
      <c r="L2">
        <v>3849</v>
      </c>
      <c r="M2" s="4">
        <v>32</v>
      </c>
      <c r="N2">
        <v>2901.5</v>
      </c>
      <c r="O2">
        <v>697</v>
      </c>
      <c r="P2">
        <v>2634</v>
      </c>
      <c r="Q2">
        <v>24604</v>
      </c>
      <c r="R2">
        <v>1229.5</v>
      </c>
      <c r="S2">
        <v>2924</v>
      </c>
      <c r="T2">
        <v>62.5</v>
      </c>
      <c r="U2">
        <v>145</v>
      </c>
      <c r="V2">
        <v>594.5</v>
      </c>
      <c r="W2">
        <v>11256</v>
      </c>
      <c r="X2">
        <v>2771</v>
      </c>
      <c r="Y2">
        <v>193.5</v>
      </c>
      <c r="Z2">
        <v>8369</v>
      </c>
    </row>
    <row r="3" spans="1:26" x14ac:dyDescent="0.3">
      <c r="A3">
        <v>1992</v>
      </c>
      <c r="B3">
        <v>11288</v>
      </c>
      <c r="C3">
        <v>8599</v>
      </c>
      <c r="D3">
        <v>572.5</v>
      </c>
      <c r="E3">
        <v>789.5</v>
      </c>
      <c r="G3">
        <v>2497</v>
      </c>
      <c r="H3">
        <v>14380</v>
      </c>
      <c r="I3">
        <v>2630</v>
      </c>
      <c r="J3">
        <v>73123</v>
      </c>
      <c r="K3">
        <v>1183.5</v>
      </c>
      <c r="L3">
        <v>1127</v>
      </c>
      <c r="M3" s="4">
        <v>34</v>
      </c>
      <c r="N3">
        <v>2849</v>
      </c>
      <c r="O3">
        <v>630.5</v>
      </c>
      <c r="P3">
        <v>4760</v>
      </c>
      <c r="Q3">
        <v>20699</v>
      </c>
      <c r="R3">
        <v>1473</v>
      </c>
      <c r="S3">
        <v>5169</v>
      </c>
      <c r="T3">
        <v>53.5</v>
      </c>
      <c r="U3">
        <v>121</v>
      </c>
      <c r="V3">
        <v>692.5</v>
      </c>
      <c r="W3">
        <v>10722</v>
      </c>
      <c r="X3">
        <v>7225</v>
      </c>
      <c r="Y3">
        <v>309</v>
      </c>
      <c r="Z3">
        <v>7254</v>
      </c>
    </row>
    <row r="4" spans="1:26" x14ac:dyDescent="0.3">
      <c r="A4">
        <v>1993</v>
      </c>
      <c r="B4">
        <v>10778</v>
      </c>
      <c r="C4">
        <v>8632</v>
      </c>
      <c r="D4">
        <v>645</v>
      </c>
      <c r="E4">
        <v>1076</v>
      </c>
      <c r="G4">
        <v>1321.5</v>
      </c>
      <c r="H4">
        <v>11441</v>
      </c>
      <c r="I4">
        <v>6473</v>
      </c>
      <c r="J4">
        <v>57392</v>
      </c>
      <c r="K4">
        <v>1139</v>
      </c>
      <c r="L4">
        <v>1627.5</v>
      </c>
      <c r="M4" s="4">
        <v>73</v>
      </c>
      <c r="N4">
        <v>3008.5</v>
      </c>
      <c r="O4">
        <v>635</v>
      </c>
      <c r="P4">
        <v>3854</v>
      </c>
      <c r="Q4">
        <v>19083</v>
      </c>
      <c r="R4">
        <v>1698</v>
      </c>
      <c r="S4">
        <v>10638</v>
      </c>
      <c r="T4">
        <v>65</v>
      </c>
      <c r="U4">
        <v>150</v>
      </c>
      <c r="V4">
        <v>383.5</v>
      </c>
      <c r="W4">
        <v>13836</v>
      </c>
      <c r="X4">
        <v>3261</v>
      </c>
      <c r="Y4">
        <v>608</v>
      </c>
      <c r="Z4">
        <v>7501</v>
      </c>
    </row>
    <row r="5" spans="1:26" x14ac:dyDescent="0.3">
      <c r="A5">
        <v>1994</v>
      </c>
      <c r="B5">
        <v>8217</v>
      </c>
      <c r="C5">
        <v>9947</v>
      </c>
      <c r="D5">
        <v>466</v>
      </c>
      <c r="E5">
        <v>1366.5</v>
      </c>
      <c r="G5">
        <v>1174</v>
      </c>
      <c r="H5">
        <v>12559.5</v>
      </c>
      <c r="I5">
        <v>2994</v>
      </c>
      <c r="J5">
        <v>56637</v>
      </c>
      <c r="K5">
        <v>1663.5</v>
      </c>
      <c r="L5">
        <v>2102.5</v>
      </c>
      <c r="M5" s="4">
        <v>65.5</v>
      </c>
      <c r="N5">
        <v>2965</v>
      </c>
      <c r="O5">
        <v>516.5</v>
      </c>
      <c r="P5">
        <v>2028</v>
      </c>
      <c r="Q5">
        <v>17507</v>
      </c>
      <c r="R5">
        <v>1700.5</v>
      </c>
      <c r="S5">
        <v>2922</v>
      </c>
      <c r="T5">
        <v>159.5</v>
      </c>
      <c r="U5">
        <v>64</v>
      </c>
      <c r="V5">
        <v>351</v>
      </c>
      <c r="W5">
        <v>14076</v>
      </c>
      <c r="X5">
        <v>15000</v>
      </c>
      <c r="Y5">
        <v>574.5</v>
      </c>
      <c r="Z5">
        <v>7111</v>
      </c>
    </row>
    <row r="6" spans="1:26" x14ac:dyDescent="0.3">
      <c r="A6">
        <v>1995</v>
      </c>
      <c r="B6">
        <v>14705</v>
      </c>
      <c r="C6">
        <v>12988</v>
      </c>
      <c r="D6">
        <v>406</v>
      </c>
      <c r="E6">
        <v>1431.5</v>
      </c>
      <c r="G6">
        <v>1013.5</v>
      </c>
      <c r="H6">
        <v>16043</v>
      </c>
      <c r="I6">
        <v>2558</v>
      </c>
      <c r="J6">
        <v>57711.5</v>
      </c>
      <c r="K6">
        <v>1720</v>
      </c>
      <c r="L6">
        <v>3737.5</v>
      </c>
      <c r="M6" s="4">
        <v>531</v>
      </c>
      <c r="N6">
        <v>3246</v>
      </c>
      <c r="O6">
        <v>561</v>
      </c>
      <c r="P6">
        <v>4175.5</v>
      </c>
      <c r="Q6">
        <v>19227</v>
      </c>
      <c r="R6">
        <v>1554.5</v>
      </c>
      <c r="S6">
        <v>4752</v>
      </c>
      <c r="T6">
        <v>260.5</v>
      </c>
      <c r="U6">
        <v>127</v>
      </c>
      <c r="V6">
        <v>590.5</v>
      </c>
      <c r="W6">
        <v>14469</v>
      </c>
      <c r="X6">
        <v>5461</v>
      </c>
      <c r="Y6">
        <v>784</v>
      </c>
      <c r="Z6">
        <v>7348.5</v>
      </c>
    </row>
    <row r="7" spans="1:26" x14ac:dyDescent="0.3">
      <c r="A7">
        <v>1996</v>
      </c>
      <c r="B7">
        <v>12296</v>
      </c>
      <c r="C7">
        <v>11185</v>
      </c>
      <c r="D7">
        <v>642</v>
      </c>
      <c r="E7">
        <v>1477.5</v>
      </c>
      <c r="G7">
        <v>2526.5</v>
      </c>
      <c r="H7">
        <v>8533</v>
      </c>
      <c r="I7">
        <v>6177.5</v>
      </c>
      <c r="J7">
        <v>26506.5</v>
      </c>
      <c r="K7">
        <v>1656.5</v>
      </c>
      <c r="L7">
        <v>1665.5</v>
      </c>
      <c r="M7" s="4">
        <v>265.5</v>
      </c>
      <c r="N7">
        <v>2923.5</v>
      </c>
      <c r="O7">
        <v>626.5</v>
      </c>
      <c r="P7">
        <v>2578</v>
      </c>
      <c r="Q7">
        <v>18293</v>
      </c>
      <c r="R7">
        <v>1299.5</v>
      </c>
      <c r="S7">
        <v>1481</v>
      </c>
      <c r="T7">
        <v>136</v>
      </c>
      <c r="U7">
        <v>152</v>
      </c>
      <c r="V7">
        <v>367</v>
      </c>
      <c r="W7">
        <v>12418</v>
      </c>
      <c r="X7">
        <v>5101</v>
      </c>
      <c r="Y7">
        <v>450</v>
      </c>
      <c r="Z7">
        <v>6706</v>
      </c>
    </row>
    <row r="8" spans="1:26" x14ac:dyDescent="0.3">
      <c r="A8">
        <v>1997</v>
      </c>
      <c r="B8">
        <v>16031</v>
      </c>
      <c r="C8">
        <v>8425</v>
      </c>
      <c r="D8">
        <v>517</v>
      </c>
      <c r="E8">
        <v>1074.5</v>
      </c>
      <c r="G8">
        <v>2184</v>
      </c>
      <c r="H8">
        <v>10943</v>
      </c>
      <c r="I8">
        <v>42258</v>
      </c>
      <c r="J8">
        <v>24076</v>
      </c>
      <c r="K8">
        <v>1494.5</v>
      </c>
      <c r="L8">
        <v>1766</v>
      </c>
      <c r="M8" s="4">
        <v>131.5</v>
      </c>
      <c r="N8">
        <v>1975</v>
      </c>
      <c r="O8">
        <v>267</v>
      </c>
      <c r="P8">
        <v>643</v>
      </c>
      <c r="Q8">
        <v>16317</v>
      </c>
      <c r="R8">
        <v>1038</v>
      </c>
      <c r="S8">
        <v>3163</v>
      </c>
      <c r="T8">
        <v>108</v>
      </c>
      <c r="U8">
        <v>109</v>
      </c>
      <c r="V8">
        <v>374</v>
      </c>
      <c r="W8">
        <v>8143</v>
      </c>
      <c r="X8">
        <v>8002</v>
      </c>
      <c r="Y8">
        <v>245</v>
      </c>
      <c r="Z8">
        <v>5059</v>
      </c>
    </row>
    <row r="9" spans="1:26" x14ac:dyDescent="0.3">
      <c r="A9">
        <v>1998</v>
      </c>
      <c r="B9">
        <v>20154</v>
      </c>
      <c r="C9">
        <v>7754</v>
      </c>
      <c r="D9">
        <v>5073</v>
      </c>
      <c r="E9">
        <v>790.5</v>
      </c>
      <c r="G9">
        <v>945</v>
      </c>
      <c r="H9">
        <v>3459</v>
      </c>
      <c r="I9">
        <v>11214.5</v>
      </c>
      <c r="J9">
        <v>74932.5</v>
      </c>
      <c r="K9">
        <v>1534</v>
      </c>
      <c r="L9">
        <v>1686</v>
      </c>
      <c r="M9" s="4">
        <v>373</v>
      </c>
      <c r="N9">
        <v>6844.5</v>
      </c>
      <c r="O9">
        <v>327.5</v>
      </c>
      <c r="P9">
        <v>3227.5</v>
      </c>
      <c r="Q9">
        <v>15637.5</v>
      </c>
      <c r="R9">
        <v>1286.5</v>
      </c>
      <c r="S9">
        <v>9674</v>
      </c>
      <c r="T9">
        <v>93</v>
      </c>
      <c r="U9">
        <v>104</v>
      </c>
      <c r="V9">
        <v>354</v>
      </c>
      <c r="W9">
        <v>10070</v>
      </c>
      <c r="X9">
        <v>27149</v>
      </c>
      <c r="Y9">
        <v>311</v>
      </c>
      <c r="Z9">
        <v>3608</v>
      </c>
    </row>
    <row r="10" spans="1:26" x14ac:dyDescent="0.3">
      <c r="A10">
        <v>1999</v>
      </c>
      <c r="B10">
        <v>11485</v>
      </c>
      <c r="C10">
        <v>11395</v>
      </c>
      <c r="D10">
        <v>4580</v>
      </c>
      <c r="E10">
        <v>362</v>
      </c>
      <c r="G10">
        <v>4712</v>
      </c>
      <c r="H10">
        <v>4039</v>
      </c>
      <c r="I10">
        <v>9751</v>
      </c>
      <c r="J10">
        <v>60250.5</v>
      </c>
      <c r="K10">
        <v>1502</v>
      </c>
      <c r="L10">
        <v>567</v>
      </c>
      <c r="M10" s="4">
        <v>6.5</v>
      </c>
      <c r="N10">
        <v>5051</v>
      </c>
      <c r="O10">
        <v>589</v>
      </c>
      <c r="P10">
        <v>12128.5</v>
      </c>
      <c r="Q10">
        <v>16349</v>
      </c>
      <c r="R10">
        <v>1104.5</v>
      </c>
      <c r="S10">
        <v>10356</v>
      </c>
      <c r="T10">
        <v>85</v>
      </c>
      <c r="U10">
        <v>47</v>
      </c>
      <c r="V10">
        <v>254.5</v>
      </c>
      <c r="W10">
        <v>9550</v>
      </c>
      <c r="X10">
        <v>8715</v>
      </c>
      <c r="Y10">
        <v>105.5</v>
      </c>
      <c r="Z10">
        <v>1951</v>
      </c>
    </row>
    <row r="11" spans="1:26" x14ac:dyDescent="0.3">
      <c r="A11">
        <v>2000</v>
      </c>
      <c r="B11">
        <v>8561</v>
      </c>
      <c r="C11">
        <v>8120</v>
      </c>
      <c r="D11">
        <v>4768</v>
      </c>
      <c r="E11">
        <v>2208.5</v>
      </c>
      <c r="G11">
        <v>3042.5</v>
      </c>
      <c r="H11">
        <v>4942</v>
      </c>
      <c r="I11">
        <v>12464</v>
      </c>
      <c r="J11">
        <v>32539</v>
      </c>
      <c r="K11">
        <v>1815.5</v>
      </c>
      <c r="L11">
        <v>1066</v>
      </c>
      <c r="M11" s="4">
        <v>775</v>
      </c>
      <c r="N11">
        <v>5671</v>
      </c>
      <c r="O11">
        <v>1987</v>
      </c>
      <c r="P11">
        <v>4461</v>
      </c>
      <c r="Q11">
        <v>17670</v>
      </c>
      <c r="R11">
        <v>1194</v>
      </c>
      <c r="S11">
        <v>11994.5</v>
      </c>
      <c r="T11">
        <v>159</v>
      </c>
      <c r="U11">
        <v>27</v>
      </c>
      <c r="V11">
        <v>357.5</v>
      </c>
      <c r="W11">
        <v>11115</v>
      </c>
      <c r="X11">
        <v>29619.5</v>
      </c>
      <c r="Y11">
        <v>1596</v>
      </c>
      <c r="Z11">
        <v>4043</v>
      </c>
    </row>
    <row r="12" spans="1:26" x14ac:dyDescent="0.3">
      <c r="A12">
        <v>2001</v>
      </c>
      <c r="B12">
        <v>4636</v>
      </c>
      <c r="C12">
        <v>12050</v>
      </c>
      <c r="D12">
        <v>4730</v>
      </c>
      <c r="E12">
        <v>3030.5</v>
      </c>
      <c r="G12">
        <v>2402</v>
      </c>
      <c r="H12">
        <v>3416</v>
      </c>
      <c r="I12">
        <v>5235</v>
      </c>
      <c r="J12">
        <v>16614</v>
      </c>
      <c r="K12">
        <v>1913</v>
      </c>
      <c r="L12">
        <v>1320</v>
      </c>
      <c r="M12" s="4">
        <v>555</v>
      </c>
      <c r="N12">
        <v>5661</v>
      </c>
      <c r="O12">
        <v>2193</v>
      </c>
      <c r="P12">
        <v>2750</v>
      </c>
      <c r="Q12">
        <v>17902</v>
      </c>
      <c r="R12">
        <v>1315.5</v>
      </c>
      <c r="S12">
        <v>7177</v>
      </c>
      <c r="T12">
        <v>178</v>
      </c>
      <c r="U12">
        <v>25</v>
      </c>
      <c r="V12">
        <v>457.5</v>
      </c>
      <c r="W12">
        <v>11031</v>
      </c>
      <c r="X12">
        <v>32172</v>
      </c>
      <c r="Y12">
        <v>826.5</v>
      </c>
      <c r="Z12">
        <v>5759</v>
      </c>
    </row>
    <row r="13" spans="1:26" x14ac:dyDescent="0.3">
      <c r="A13">
        <v>2002</v>
      </c>
      <c r="B13">
        <v>7295</v>
      </c>
      <c r="C13">
        <v>7215</v>
      </c>
      <c r="D13">
        <v>4132</v>
      </c>
      <c r="E13">
        <v>1846</v>
      </c>
      <c r="G13">
        <v>3675.5</v>
      </c>
      <c r="H13">
        <v>7374</v>
      </c>
      <c r="I13">
        <v>9290</v>
      </c>
      <c r="J13">
        <v>12916</v>
      </c>
      <c r="K13">
        <v>2147</v>
      </c>
      <c r="L13">
        <v>1644</v>
      </c>
      <c r="M13" s="4">
        <v>413</v>
      </c>
      <c r="N13">
        <v>6193.5</v>
      </c>
      <c r="O13">
        <v>1275</v>
      </c>
      <c r="P13">
        <v>5256.5</v>
      </c>
      <c r="Q13">
        <v>17974</v>
      </c>
      <c r="R13">
        <v>1440</v>
      </c>
      <c r="S13">
        <v>4996</v>
      </c>
      <c r="T13">
        <v>280</v>
      </c>
      <c r="U13">
        <v>15</v>
      </c>
      <c r="V13">
        <v>375</v>
      </c>
      <c r="W13">
        <v>10381</v>
      </c>
      <c r="X13">
        <v>15158</v>
      </c>
      <c r="Y13">
        <v>1700</v>
      </c>
      <c r="Z13">
        <v>5313</v>
      </c>
    </row>
    <row r="14" spans="1:26" x14ac:dyDescent="0.3">
      <c r="A14">
        <v>2003</v>
      </c>
      <c r="B14">
        <v>3722.5</v>
      </c>
      <c r="C14">
        <v>10042</v>
      </c>
      <c r="D14">
        <v>3717.5</v>
      </c>
      <c r="E14">
        <v>1329.5</v>
      </c>
      <c r="G14">
        <v>1843</v>
      </c>
      <c r="H14">
        <v>8158</v>
      </c>
      <c r="I14">
        <v>18301</v>
      </c>
      <c r="J14">
        <v>22663</v>
      </c>
      <c r="K14">
        <v>1992.5</v>
      </c>
      <c r="L14">
        <v>1612</v>
      </c>
      <c r="M14" s="4">
        <v>592</v>
      </c>
      <c r="N14">
        <v>5508</v>
      </c>
      <c r="O14">
        <v>676</v>
      </c>
      <c r="P14">
        <v>1912</v>
      </c>
      <c r="Q14">
        <v>15648</v>
      </c>
      <c r="R14">
        <v>1333.5</v>
      </c>
      <c r="S14">
        <v>28806</v>
      </c>
      <c r="T14">
        <v>443</v>
      </c>
      <c r="U14">
        <v>21</v>
      </c>
      <c r="V14">
        <v>310.5</v>
      </c>
      <c r="W14">
        <v>12095</v>
      </c>
      <c r="X14">
        <v>24163</v>
      </c>
      <c r="Y14">
        <v>1051</v>
      </c>
      <c r="Z14">
        <v>3824.5</v>
      </c>
    </row>
    <row r="15" spans="1:26" x14ac:dyDescent="0.3">
      <c r="A15">
        <v>2004</v>
      </c>
      <c r="B15">
        <v>2203.5</v>
      </c>
      <c r="C15">
        <v>8730</v>
      </c>
      <c r="D15">
        <v>3650</v>
      </c>
      <c r="E15">
        <v>1482.5</v>
      </c>
      <c r="G15">
        <v>6163</v>
      </c>
      <c r="H15">
        <v>6757</v>
      </c>
      <c r="I15">
        <v>32971</v>
      </c>
      <c r="J15">
        <v>12646</v>
      </c>
      <c r="K15">
        <v>1759</v>
      </c>
      <c r="L15">
        <v>1112.5</v>
      </c>
      <c r="M15" s="4">
        <v>695.5</v>
      </c>
      <c r="N15">
        <v>5653</v>
      </c>
      <c r="O15">
        <v>580</v>
      </c>
      <c r="P15">
        <v>316.5</v>
      </c>
      <c r="Q15">
        <v>14288</v>
      </c>
      <c r="R15">
        <v>1250</v>
      </c>
      <c r="S15">
        <v>14243.5</v>
      </c>
      <c r="T15">
        <v>446</v>
      </c>
      <c r="U15">
        <v>22</v>
      </c>
      <c r="V15">
        <v>336.5</v>
      </c>
      <c r="W15">
        <v>12425</v>
      </c>
      <c r="X15">
        <v>18506</v>
      </c>
      <c r="Y15">
        <v>937</v>
      </c>
      <c r="Z15">
        <v>2476.5</v>
      </c>
    </row>
    <row r="16" spans="1:26" x14ac:dyDescent="0.3">
      <c r="A16">
        <v>2005</v>
      </c>
      <c r="B16">
        <v>1794</v>
      </c>
      <c r="C16">
        <v>9243</v>
      </c>
      <c r="D16">
        <v>3346</v>
      </c>
      <c r="E16">
        <v>1529</v>
      </c>
      <c r="G16">
        <v>2381</v>
      </c>
      <c r="H16">
        <v>6935</v>
      </c>
      <c r="I16">
        <v>28486</v>
      </c>
      <c r="J16">
        <v>12753</v>
      </c>
      <c r="K16">
        <v>887</v>
      </c>
      <c r="L16">
        <v>854</v>
      </c>
      <c r="M16" s="4">
        <v>443</v>
      </c>
      <c r="N16">
        <v>5230</v>
      </c>
      <c r="O16">
        <v>466</v>
      </c>
      <c r="P16">
        <v>329</v>
      </c>
      <c r="Q16">
        <v>13519</v>
      </c>
      <c r="R16">
        <v>1157</v>
      </c>
      <c r="S16">
        <v>22985</v>
      </c>
      <c r="T16">
        <v>552</v>
      </c>
      <c r="U16">
        <v>18</v>
      </c>
      <c r="V16">
        <v>392</v>
      </c>
      <c r="W16">
        <v>11188</v>
      </c>
      <c r="X16">
        <v>4426</v>
      </c>
      <c r="Y16">
        <v>523</v>
      </c>
      <c r="Z16">
        <v>1836</v>
      </c>
    </row>
    <row r="17" spans="1:26" x14ac:dyDescent="0.3">
      <c r="A17" s="1">
        <v>2006</v>
      </c>
      <c r="B17" s="2">
        <v>1783.6</v>
      </c>
      <c r="C17" s="2">
        <v>9944.6</v>
      </c>
      <c r="D17" s="2">
        <v>3019.2</v>
      </c>
      <c r="E17" s="3">
        <v>1581.13</v>
      </c>
      <c r="F17" s="3"/>
      <c r="G17" s="2">
        <v>441.92</v>
      </c>
      <c r="H17" s="2">
        <v>5454.7</v>
      </c>
      <c r="I17" s="2">
        <v>23713.5</v>
      </c>
      <c r="J17" s="2">
        <v>11800</v>
      </c>
      <c r="K17" s="2">
        <v>1528.49</v>
      </c>
      <c r="L17" s="2">
        <v>250.2</v>
      </c>
      <c r="M17" s="5">
        <v>3.02</v>
      </c>
      <c r="N17" s="2">
        <v>5526.69</v>
      </c>
      <c r="O17" s="2">
        <v>430.51</v>
      </c>
      <c r="P17" s="2">
        <v>710.74</v>
      </c>
      <c r="Q17" s="2">
        <v>12957.4</v>
      </c>
      <c r="R17" s="2">
        <v>1146.9000000000001</v>
      </c>
      <c r="S17" s="2">
        <v>10897.8</v>
      </c>
      <c r="T17" s="2">
        <v>550.79999999999995</v>
      </c>
      <c r="U17" s="2">
        <v>5</v>
      </c>
      <c r="V17" s="2">
        <v>380.76</v>
      </c>
      <c r="W17" s="2">
        <v>8879.5</v>
      </c>
      <c r="X17" s="2">
        <v>33614.410000000003</v>
      </c>
      <c r="Y17" s="2">
        <v>600.35</v>
      </c>
      <c r="Z17" s="2">
        <v>1727.8</v>
      </c>
    </row>
    <row r="18" spans="1:26" x14ac:dyDescent="0.3">
      <c r="A18" s="1">
        <v>2006</v>
      </c>
      <c r="B18" s="2">
        <v>1783</v>
      </c>
      <c r="C18" s="2">
        <v>9945</v>
      </c>
      <c r="D18" s="2">
        <v>3019</v>
      </c>
      <c r="E18" s="3">
        <v>1399.5</v>
      </c>
      <c r="F18" s="3"/>
      <c r="G18" s="2">
        <v>444</v>
      </c>
      <c r="H18" s="2">
        <v>5455</v>
      </c>
      <c r="I18" s="2">
        <v>23714</v>
      </c>
      <c r="J18" s="2">
        <v>11800</v>
      </c>
      <c r="K18" s="2">
        <v>1533</v>
      </c>
      <c r="L18" s="2">
        <v>250</v>
      </c>
      <c r="M18" s="5">
        <v>200</v>
      </c>
      <c r="N18" s="2">
        <v>5530.5</v>
      </c>
      <c r="O18" s="2">
        <v>436.5</v>
      </c>
      <c r="P18" s="2">
        <v>713</v>
      </c>
      <c r="Q18" s="2">
        <v>12957</v>
      </c>
      <c r="R18" s="2">
        <v>1147</v>
      </c>
      <c r="S18" s="2">
        <v>10898</v>
      </c>
      <c r="T18" s="2">
        <v>551</v>
      </c>
      <c r="U18" s="2">
        <v>5</v>
      </c>
      <c r="V18" s="2">
        <v>383.5</v>
      </c>
      <c r="W18" s="2">
        <v>8880</v>
      </c>
      <c r="X18" s="2">
        <v>33614.5</v>
      </c>
      <c r="Y18" s="2">
        <v>602.5</v>
      </c>
      <c r="Z18" s="2">
        <v>1727</v>
      </c>
    </row>
    <row r="19" spans="1:26" x14ac:dyDescent="0.3">
      <c r="A19" s="1">
        <v>2007</v>
      </c>
      <c r="B19" s="2">
        <v>1829</v>
      </c>
      <c r="C19" s="2">
        <v>9983.5</v>
      </c>
      <c r="D19" s="2">
        <v>4268.3</v>
      </c>
      <c r="E19" s="3">
        <v>2221.14</v>
      </c>
      <c r="F19" s="3"/>
      <c r="G19" s="2">
        <v>466.3</v>
      </c>
      <c r="H19" s="2">
        <v>2396.3000000000002</v>
      </c>
      <c r="I19" s="2">
        <v>23324.61</v>
      </c>
      <c r="J19" s="2">
        <v>11661.5</v>
      </c>
      <c r="K19" s="2">
        <v>1350.05</v>
      </c>
      <c r="L19" s="2">
        <v>241.5</v>
      </c>
      <c r="M19" s="5">
        <v>8.74</v>
      </c>
      <c r="N19" s="2">
        <v>4680.3599999999997</v>
      </c>
      <c r="O19" s="2">
        <v>378.29</v>
      </c>
      <c r="P19" s="2">
        <v>175.36</v>
      </c>
      <c r="Q19" s="2">
        <v>10873.5</v>
      </c>
      <c r="R19" s="2">
        <v>1118.01</v>
      </c>
      <c r="S19" s="2">
        <v>806.5</v>
      </c>
      <c r="T19" s="2">
        <v>543.9</v>
      </c>
      <c r="U19" s="2">
        <v>24.5</v>
      </c>
      <c r="V19" s="2">
        <v>398.66</v>
      </c>
      <c r="W19" s="2">
        <v>9163.6</v>
      </c>
      <c r="X19" s="2">
        <v>26202.6</v>
      </c>
      <c r="Y19" s="2">
        <v>495.51</v>
      </c>
      <c r="Z19" s="2">
        <v>1215.4100000000001</v>
      </c>
    </row>
    <row r="20" spans="1:26" x14ac:dyDescent="0.3">
      <c r="A20" s="1">
        <v>2007</v>
      </c>
      <c r="B20" s="2">
        <v>1829</v>
      </c>
      <c r="C20" s="2">
        <v>9984</v>
      </c>
      <c r="D20" s="2">
        <v>4268</v>
      </c>
      <c r="E20" s="3">
        <v>1538.5</v>
      </c>
      <c r="F20" s="3"/>
      <c r="G20" s="2">
        <v>466</v>
      </c>
      <c r="H20" s="2">
        <v>2396</v>
      </c>
      <c r="I20" s="2">
        <v>23324.5</v>
      </c>
      <c r="J20" s="2">
        <v>11662</v>
      </c>
      <c r="K20" s="2">
        <v>1352.5</v>
      </c>
      <c r="L20" s="2">
        <v>241</v>
      </c>
      <c r="M20" s="5">
        <v>696.5</v>
      </c>
      <c r="N20" s="2">
        <v>4685</v>
      </c>
      <c r="O20" s="2">
        <v>382.5</v>
      </c>
      <c r="P20" s="2">
        <v>181</v>
      </c>
      <c r="Q20" s="2">
        <v>10874</v>
      </c>
      <c r="R20" s="2">
        <v>1119.5</v>
      </c>
      <c r="S20" s="2">
        <v>807</v>
      </c>
      <c r="T20" s="2">
        <v>544</v>
      </c>
      <c r="U20" s="2">
        <v>25</v>
      </c>
      <c r="V20" s="2">
        <v>402</v>
      </c>
      <c r="W20" s="2">
        <v>9164</v>
      </c>
      <c r="X20" s="2">
        <v>26203</v>
      </c>
      <c r="Y20" s="2">
        <v>495.5</v>
      </c>
      <c r="Z20" s="2">
        <v>1216.5</v>
      </c>
    </row>
    <row r="21" spans="1:26" x14ac:dyDescent="0.3">
      <c r="A21" s="1">
        <v>2008</v>
      </c>
      <c r="B21" s="2">
        <v>2628.11</v>
      </c>
      <c r="C21" s="2">
        <v>10857.5</v>
      </c>
      <c r="D21" s="2">
        <v>4342.5</v>
      </c>
      <c r="E21" s="3">
        <v>2042.62</v>
      </c>
      <c r="F21" s="3"/>
      <c r="G21" s="2">
        <v>713.31</v>
      </c>
      <c r="H21" s="2">
        <v>1314.7</v>
      </c>
      <c r="I21" s="2">
        <v>12114.31</v>
      </c>
      <c r="J21" s="2">
        <v>14759</v>
      </c>
      <c r="K21" s="2">
        <v>1279.19</v>
      </c>
      <c r="L21" s="2">
        <v>255.31</v>
      </c>
      <c r="M21" s="5">
        <v>3.73</v>
      </c>
      <c r="N21" s="2">
        <v>3879.21</v>
      </c>
      <c r="O21" s="2">
        <v>335</v>
      </c>
      <c r="P21" s="2">
        <v>644.04999999999995</v>
      </c>
      <c r="Q21" s="2">
        <v>11260.01</v>
      </c>
      <c r="R21" s="2">
        <v>1126.26</v>
      </c>
      <c r="S21" s="2">
        <v>1441.3</v>
      </c>
      <c r="T21" s="2">
        <v>547.52</v>
      </c>
      <c r="U21" s="2">
        <v>37</v>
      </c>
      <c r="V21" s="2">
        <v>378.07</v>
      </c>
      <c r="W21" s="2">
        <v>9110.81</v>
      </c>
      <c r="X21" s="2">
        <v>8983.4</v>
      </c>
      <c r="Y21" s="2">
        <v>444.04</v>
      </c>
      <c r="Z21" s="2">
        <v>1324.8</v>
      </c>
    </row>
    <row r="22" spans="1:26" x14ac:dyDescent="0.3">
      <c r="A22" s="1">
        <v>2008</v>
      </c>
      <c r="B22" s="2">
        <v>2629.5</v>
      </c>
      <c r="C22" s="2">
        <v>10858</v>
      </c>
      <c r="D22" s="2">
        <v>4343</v>
      </c>
      <c r="E22" s="3">
        <v>1283.5</v>
      </c>
      <c r="F22" s="3"/>
      <c r="G22" s="2">
        <v>713.5</v>
      </c>
      <c r="H22" s="2">
        <v>1315</v>
      </c>
      <c r="I22" s="2">
        <v>12115.5</v>
      </c>
      <c r="J22" s="2">
        <v>14759</v>
      </c>
      <c r="K22" s="2">
        <v>1283.5</v>
      </c>
      <c r="L22" s="2">
        <v>255.5</v>
      </c>
      <c r="M22" s="5">
        <v>772</v>
      </c>
      <c r="N22" s="2">
        <v>3884.5</v>
      </c>
      <c r="O22" s="2">
        <v>341</v>
      </c>
      <c r="P22" s="2">
        <v>648.5</v>
      </c>
      <c r="Q22" s="2">
        <v>11260.5</v>
      </c>
      <c r="R22" s="2">
        <v>1130</v>
      </c>
      <c r="S22" s="2">
        <v>1441</v>
      </c>
      <c r="T22" s="2">
        <v>549</v>
      </c>
      <c r="U22" s="2">
        <v>37</v>
      </c>
      <c r="V22" s="2">
        <v>382.5</v>
      </c>
      <c r="W22" s="2">
        <v>9110.5</v>
      </c>
      <c r="X22" s="2">
        <v>8983</v>
      </c>
      <c r="Y22" s="2">
        <v>445</v>
      </c>
      <c r="Z22" s="2">
        <v>1324</v>
      </c>
    </row>
    <row r="23" spans="1:26" x14ac:dyDescent="0.3">
      <c r="A23" s="1">
        <v>2009</v>
      </c>
      <c r="B23" s="2">
        <v>4121.2</v>
      </c>
      <c r="C23" s="2">
        <v>15384.8</v>
      </c>
      <c r="D23" s="2">
        <v>3842.9</v>
      </c>
      <c r="E23" s="3">
        <v>1840.09</v>
      </c>
      <c r="F23" s="3"/>
      <c r="G23" s="2">
        <v>765.12</v>
      </c>
      <c r="H23" s="2">
        <v>3091.7</v>
      </c>
      <c r="I23" s="2">
        <v>10964.3</v>
      </c>
      <c r="J23" s="2">
        <v>3317.62</v>
      </c>
      <c r="K23" s="2">
        <v>731.67</v>
      </c>
      <c r="L23" s="2">
        <v>648.79999999999995</v>
      </c>
      <c r="M23" s="5">
        <v>6.32</v>
      </c>
      <c r="N23" s="2">
        <v>4011.87</v>
      </c>
      <c r="O23" s="2">
        <v>546.97</v>
      </c>
      <c r="P23" s="2">
        <v>528.24</v>
      </c>
      <c r="Q23" s="2">
        <v>13851.2</v>
      </c>
      <c r="R23" s="2">
        <v>979.74</v>
      </c>
      <c r="S23" s="2">
        <v>760.1</v>
      </c>
      <c r="T23" s="2">
        <v>695.52</v>
      </c>
      <c r="U23" s="2">
        <v>89.7</v>
      </c>
      <c r="V23" s="2">
        <v>493.88</v>
      </c>
      <c r="W23" s="2">
        <v>9838.1</v>
      </c>
      <c r="X23" s="2">
        <v>11741.1</v>
      </c>
      <c r="Y23" s="2">
        <v>711.14</v>
      </c>
      <c r="Z23" s="2">
        <v>2528.9</v>
      </c>
    </row>
    <row r="24" spans="1:26" x14ac:dyDescent="0.3">
      <c r="A24" s="1">
        <v>2009</v>
      </c>
      <c r="B24" s="2">
        <v>4122</v>
      </c>
      <c r="C24" s="2">
        <v>15385</v>
      </c>
      <c r="D24" s="2">
        <v>3844</v>
      </c>
      <c r="E24" s="3">
        <v>1514</v>
      </c>
      <c r="F24" s="3"/>
      <c r="G24" s="2">
        <v>767</v>
      </c>
      <c r="H24" s="2">
        <v>3092</v>
      </c>
      <c r="I24" s="2">
        <v>10965</v>
      </c>
      <c r="J24" s="2">
        <v>3319</v>
      </c>
      <c r="K24" s="2">
        <v>733.5</v>
      </c>
      <c r="L24" s="2">
        <v>650</v>
      </c>
      <c r="M24" s="5">
        <v>341.5</v>
      </c>
      <c r="N24" s="2">
        <v>4017.5</v>
      </c>
      <c r="O24" s="2">
        <v>550.5</v>
      </c>
      <c r="P24" s="2">
        <v>533</v>
      </c>
      <c r="Q24" s="2">
        <v>13850</v>
      </c>
      <c r="R24" s="2">
        <v>982</v>
      </c>
      <c r="S24" s="2">
        <v>760</v>
      </c>
      <c r="T24" s="2">
        <v>697</v>
      </c>
      <c r="U24" s="2">
        <v>89</v>
      </c>
      <c r="V24" s="2">
        <v>499</v>
      </c>
      <c r="W24" s="2">
        <v>9839</v>
      </c>
      <c r="X24" s="2">
        <v>11741</v>
      </c>
      <c r="Y24" s="2">
        <v>713</v>
      </c>
      <c r="Z24" s="2">
        <v>2529</v>
      </c>
    </row>
    <row r="25" spans="1:26" x14ac:dyDescent="0.3">
      <c r="A25" s="1">
        <v>2010</v>
      </c>
      <c r="B25" s="2">
        <v>3285</v>
      </c>
      <c r="C25" s="2">
        <v>15991.7</v>
      </c>
      <c r="D25" s="2">
        <v>3861.9</v>
      </c>
      <c r="E25" s="3">
        <v>829.23</v>
      </c>
      <c r="F25" s="3"/>
      <c r="G25" s="2">
        <v>1165</v>
      </c>
      <c r="H25" s="2">
        <v>2293</v>
      </c>
      <c r="I25" s="2">
        <v>2380.4</v>
      </c>
      <c r="J25" s="2">
        <v>3783.4</v>
      </c>
      <c r="K25" s="2">
        <v>832.33</v>
      </c>
      <c r="L25" s="2">
        <v>718.31</v>
      </c>
      <c r="M25" s="5">
        <v>6</v>
      </c>
      <c r="N25" s="2">
        <v>4345.32</v>
      </c>
      <c r="O25" s="2">
        <v>455.12</v>
      </c>
      <c r="P25" s="2">
        <v>542.91</v>
      </c>
      <c r="Q25" s="2">
        <v>16109.9</v>
      </c>
      <c r="R25" s="2">
        <v>700.6</v>
      </c>
      <c r="S25" s="2">
        <v>309</v>
      </c>
      <c r="T25" s="2">
        <v>732.5</v>
      </c>
      <c r="U25" s="2">
        <v>97.4</v>
      </c>
      <c r="V25" s="2">
        <v>562.02</v>
      </c>
      <c r="W25" s="2">
        <v>9052.5</v>
      </c>
      <c r="X25" s="2">
        <v>56602.04</v>
      </c>
      <c r="Y25" s="2">
        <v>477.01</v>
      </c>
      <c r="Z25" s="2">
        <v>2091.1</v>
      </c>
    </row>
    <row r="26" spans="1:26" x14ac:dyDescent="0.3">
      <c r="A26" s="1">
        <v>2010</v>
      </c>
      <c r="B26" s="2">
        <v>3284</v>
      </c>
      <c r="C26" s="2">
        <v>15993</v>
      </c>
      <c r="D26" s="2">
        <v>3862</v>
      </c>
      <c r="E26" s="3">
        <v>562</v>
      </c>
      <c r="F26" s="3"/>
      <c r="G26" s="2">
        <v>1166</v>
      </c>
      <c r="H26" s="2">
        <v>2293</v>
      </c>
      <c r="I26" s="2">
        <v>2380</v>
      </c>
      <c r="J26" s="2">
        <v>3783</v>
      </c>
      <c r="K26" s="2">
        <v>831</v>
      </c>
      <c r="L26" s="2">
        <v>718</v>
      </c>
      <c r="M26" s="5">
        <v>277</v>
      </c>
      <c r="N26" s="2">
        <v>4344</v>
      </c>
      <c r="O26" s="2">
        <v>456</v>
      </c>
      <c r="P26" s="2">
        <v>543</v>
      </c>
      <c r="Q26" s="2">
        <v>16111</v>
      </c>
      <c r="R26" s="2">
        <v>700</v>
      </c>
      <c r="S26" s="2">
        <v>308</v>
      </c>
      <c r="T26" s="2">
        <v>733</v>
      </c>
      <c r="U26" s="2">
        <v>98</v>
      </c>
      <c r="V26" s="2">
        <v>564</v>
      </c>
      <c r="W26" s="2">
        <v>9052</v>
      </c>
      <c r="X26" s="2">
        <v>56601</v>
      </c>
      <c r="Y26" s="2">
        <v>477</v>
      </c>
      <c r="Z26" s="2">
        <v>2092</v>
      </c>
    </row>
    <row r="27" spans="1:26" x14ac:dyDescent="0.3">
      <c r="A27">
        <v>2011</v>
      </c>
      <c r="B27">
        <v>2095.2600000000002</v>
      </c>
      <c r="C27">
        <v>11072.51</v>
      </c>
      <c r="D27">
        <v>3030.89</v>
      </c>
      <c r="E27">
        <v>1622.71</v>
      </c>
      <c r="G27">
        <v>5416.65</v>
      </c>
      <c r="H27">
        <v>2986.75</v>
      </c>
      <c r="I27">
        <v>2151.04</v>
      </c>
      <c r="J27">
        <v>6174.38</v>
      </c>
      <c r="K27">
        <v>764.31</v>
      </c>
      <c r="L27">
        <v>614.58000000000004</v>
      </c>
      <c r="M27" s="4">
        <v>16.47</v>
      </c>
      <c r="N27">
        <v>4521.5</v>
      </c>
      <c r="O27">
        <v>297.12</v>
      </c>
      <c r="P27">
        <v>241.39</v>
      </c>
      <c r="Q27">
        <v>14743.28</v>
      </c>
      <c r="R27">
        <v>803.12</v>
      </c>
      <c r="S27">
        <v>6566.49</v>
      </c>
      <c r="T27">
        <v>611.74</v>
      </c>
      <c r="U27">
        <v>205.5</v>
      </c>
      <c r="V27">
        <v>590.48</v>
      </c>
      <c r="W27">
        <v>8361.27</v>
      </c>
      <c r="X27">
        <v>35785.32</v>
      </c>
      <c r="Y27">
        <v>249.79</v>
      </c>
      <c r="Z27">
        <v>1335.31</v>
      </c>
    </row>
    <row r="28" spans="1:26" x14ac:dyDescent="0.3">
      <c r="A28">
        <v>2012</v>
      </c>
      <c r="B28">
        <v>1632.41</v>
      </c>
      <c r="C28">
        <v>11624.72</v>
      </c>
      <c r="D28">
        <v>2845.54</v>
      </c>
      <c r="E28">
        <v>1379.61</v>
      </c>
      <c r="G28">
        <v>2939.11</v>
      </c>
      <c r="H28">
        <v>3745.84</v>
      </c>
      <c r="I28">
        <v>1424.74</v>
      </c>
      <c r="J28">
        <v>4916.01</v>
      </c>
      <c r="K28">
        <v>701.21</v>
      </c>
      <c r="L28">
        <v>454.78</v>
      </c>
      <c r="M28" s="4">
        <v>916.3</v>
      </c>
      <c r="N28">
        <v>3815.33</v>
      </c>
      <c r="O28">
        <v>233.95</v>
      </c>
      <c r="P28">
        <v>300.18</v>
      </c>
      <c r="Q28">
        <v>11756.57</v>
      </c>
      <c r="R28">
        <v>876.11</v>
      </c>
      <c r="S28">
        <v>3.28</v>
      </c>
      <c r="T28">
        <v>510.24</v>
      </c>
      <c r="U28">
        <v>70.099999999999994</v>
      </c>
      <c r="V28">
        <v>476.83</v>
      </c>
      <c r="W28">
        <v>9062.4500000000007</v>
      </c>
      <c r="X28">
        <v>9232.51</v>
      </c>
      <c r="Y28">
        <v>390.81</v>
      </c>
      <c r="Z28">
        <v>1096.3800000000001</v>
      </c>
    </row>
    <row r="29" spans="1:26" x14ac:dyDescent="0.3">
      <c r="A29">
        <v>2013</v>
      </c>
      <c r="B29">
        <v>1033.03</v>
      </c>
      <c r="C29">
        <v>16076.45</v>
      </c>
      <c r="D29">
        <v>2144.0300000000002</v>
      </c>
      <c r="E29">
        <v>1641.24</v>
      </c>
      <c r="G29">
        <v>3417.16</v>
      </c>
      <c r="H29">
        <v>2315.16</v>
      </c>
      <c r="I29">
        <v>943.32</v>
      </c>
      <c r="J29">
        <v>10888.81</v>
      </c>
      <c r="K29">
        <v>893.96</v>
      </c>
      <c r="L29">
        <v>761.09</v>
      </c>
      <c r="M29" s="4">
        <v>17.420000000000002</v>
      </c>
      <c r="N29">
        <v>3444.27</v>
      </c>
      <c r="O29">
        <v>175.18</v>
      </c>
      <c r="P29">
        <v>291.43</v>
      </c>
      <c r="Q29">
        <v>14523.24</v>
      </c>
      <c r="R29">
        <v>921.9</v>
      </c>
      <c r="S29">
        <v>5899.63</v>
      </c>
      <c r="T29">
        <v>505.71</v>
      </c>
      <c r="U29">
        <v>74.28</v>
      </c>
      <c r="V29">
        <v>493.76</v>
      </c>
      <c r="W29">
        <v>10411.42</v>
      </c>
      <c r="X29">
        <v>20659.66</v>
      </c>
      <c r="Y29">
        <v>380.66</v>
      </c>
      <c r="Z29">
        <v>1007.67</v>
      </c>
    </row>
    <row r="30" spans="1:26" x14ac:dyDescent="0.3">
      <c r="A30">
        <v>2014</v>
      </c>
      <c r="B30">
        <v>1309.02</v>
      </c>
      <c r="C30">
        <v>18816.419999999998</v>
      </c>
      <c r="D30">
        <v>2153.6799999999998</v>
      </c>
      <c r="E30">
        <v>2290.39</v>
      </c>
      <c r="G30">
        <v>3390.3</v>
      </c>
      <c r="H30">
        <v>3171.45</v>
      </c>
      <c r="I30">
        <v>2281.23</v>
      </c>
      <c r="J30">
        <v>15128</v>
      </c>
      <c r="K30">
        <v>911.54</v>
      </c>
      <c r="L30">
        <v>510.74</v>
      </c>
      <c r="M30" s="4">
        <v>3.65</v>
      </c>
      <c r="N30">
        <v>3541.32</v>
      </c>
      <c r="O30">
        <v>164.1</v>
      </c>
      <c r="P30">
        <v>277.36</v>
      </c>
      <c r="Q30">
        <v>13675.89</v>
      </c>
      <c r="R30">
        <v>783.57</v>
      </c>
      <c r="S30">
        <v>2.62</v>
      </c>
      <c r="T30">
        <v>494.79</v>
      </c>
      <c r="U30">
        <v>8.19</v>
      </c>
      <c r="V30">
        <v>557.29</v>
      </c>
      <c r="W30">
        <v>9679.25</v>
      </c>
      <c r="X30">
        <v>2657.49</v>
      </c>
      <c r="Y30">
        <v>1182.1600000000001</v>
      </c>
      <c r="Z30">
        <v>1113.6099999999999</v>
      </c>
    </row>
    <row r="31" spans="1:26" x14ac:dyDescent="0.3">
      <c r="A31">
        <v>2015</v>
      </c>
      <c r="B31">
        <v>1386.64</v>
      </c>
      <c r="C31">
        <v>14781.9</v>
      </c>
      <c r="D31">
        <v>2040.11</v>
      </c>
      <c r="E31">
        <v>2799.1</v>
      </c>
      <c r="G31">
        <v>3348.35</v>
      </c>
      <c r="H31">
        <v>967.2</v>
      </c>
      <c r="I31">
        <v>717.76</v>
      </c>
      <c r="J31">
        <v>16502.96</v>
      </c>
      <c r="K31">
        <v>892.8</v>
      </c>
      <c r="L31">
        <v>575.21</v>
      </c>
      <c r="M31" s="4">
        <v>6.57</v>
      </c>
      <c r="N31">
        <v>3558.47</v>
      </c>
      <c r="O31">
        <v>212.86</v>
      </c>
      <c r="P31">
        <v>430.83</v>
      </c>
      <c r="Q31">
        <v>10713.33</v>
      </c>
      <c r="R31">
        <v>660.25</v>
      </c>
      <c r="S31">
        <v>5078.92</v>
      </c>
      <c r="T31">
        <v>309.33</v>
      </c>
      <c r="U31">
        <v>5.36</v>
      </c>
      <c r="V31">
        <v>666.32</v>
      </c>
      <c r="W31">
        <v>8851.2000000000007</v>
      </c>
      <c r="X31">
        <v>52697.27</v>
      </c>
      <c r="Y31">
        <v>491.85</v>
      </c>
      <c r="Z31">
        <v>1066.6500000000001</v>
      </c>
    </row>
    <row r="32" spans="1:26" x14ac:dyDescent="0.3">
      <c r="A32">
        <v>2016</v>
      </c>
      <c r="B32">
        <v>720.5</v>
      </c>
      <c r="C32">
        <v>16152.38</v>
      </c>
      <c r="D32">
        <v>1916.67</v>
      </c>
      <c r="E32">
        <v>3557.72</v>
      </c>
      <c r="G32">
        <v>3976.05</v>
      </c>
      <c r="H32">
        <v>3220.88</v>
      </c>
      <c r="I32">
        <v>791.99</v>
      </c>
      <c r="J32">
        <v>11116.69</v>
      </c>
      <c r="K32">
        <v>1010.18</v>
      </c>
      <c r="L32">
        <v>767.64</v>
      </c>
      <c r="M32" s="4">
        <v>4.04</v>
      </c>
      <c r="N32">
        <v>3515.65</v>
      </c>
      <c r="O32">
        <v>317.72000000000003</v>
      </c>
      <c r="P32">
        <v>283.60000000000002</v>
      </c>
      <c r="Q32">
        <v>10198.42</v>
      </c>
      <c r="R32">
        <v>627.20000000000005</v>
      </c>
      <c r="S32">
        <v>2.58</v>
      </c>
      <c r="T32">
        <v>224.04</v>
      </c>
      <c r="U32">
        <v>45.43</v>
      </c>
      <c r="V32">
        <v>616.30999999999995</v>
      </c>
      <c r="W32">
        <v>8946.93</v>
      </c>
      <c r="X32">
        <v>28329.360000000001</v>
      </c>
      <c r="Y32">
        <v>1047.19</v>
      </c>
      <c r="Z32">
        <v>1976.45</v>
      </c>
    </row>
    <row r="33" spans="1:26" x14ac:dyDescent="0.3">
      <c r="A33">
        <v>2017</v>
      </c>
      <c r="B33">
        <v>204.09</v>
      </c>
      <c r="C33">
        <v>12128.08</v>
      </c>
      <c r="D33">
        <v>1069.31</v>
      </c>
      <c r="E33">
        <v>2634.22</v>
      </c>
      <c r="G33">
        <v>3692</v>
      </c>
      <c r="H33">
        <v>1861.89</v>
      </c>
      <c r="I33">
        <v>2445.61</v>
      </c>
      <c r="J33">
        <v>12646.67</v>
      </c>
      <c r="K33">
        <v>1181.94</v>
      </c>
      <c r="L33">
        <v>735.09</v>
      </c>
      <c r="M33" s="4">
        <v>2.74</v>
      </c>
      <c r="N33">
        <v>2979.45</v>
      </c>
      <c r="O33">
        <v>405.93</v>
      </c>
      <c r="P33">
        <v>1240.43</v>
      </c>
      <c r="Q33">
        <v>9818.6</v>
      </c>
      <c r="R33">
        <v>957.34</v>
      </c>
      <c r="S33">
        <v>197</v>
      </c>
      <c r="T33">
        <v>183.59</v>
      </c>
      <c r="U33">
        <v>26.85</v>
      </c>
      <c r="V33">
        <v>496.84</v>
      </c>
      <c r="W33">
        <v>8981.7199999999993</v>
      </c>
      <c r="X33">
        <v>3313.85</v>
      </c>
      <c r="Y33">
        <v>532.22</v>
      </c>
      <c r="Z33">
        <v>1291.97</v>
      </c>
    </row>
    <row r="34" spans="1:26" x14ac:dyDescent="0.3">
      <c r="A34">
        <v>2018</v>
      </c>
      <c r="B34">
        <v>196.273</v>
      </c>
      <c r="C34">
        <v>22713.291000000001</v>
      </c>
      <c r="D34">
        <v>1136.865</v>
      </c>
      <c r="E34">
        <v>2119.4</v>
      </c>
      <c r="G34">
        <v>4154.4939999999997</v>
      </c>
      <c r="H34">
        <v>2270.6590000000001</v>
      </c>
      <c r="I34">
        <v>1182.1369999999999</v>
      </c>
      <c r="J34">
        <v>15285.245000000001</v>
      </c>
      <c r="K34">
        <v>1147.989</v>
      </c>
      <c r="L34">
        <v>822.61</v>
      </c>
      <c r="M34" s="4">
        <v>6.3579999999999997</v>
      </c>
      <c r="N34">
        <v>2911.1170000000002</v>
      </c>
      <c r="O34">
        <v>301.03800000000001</v>
      </c>
      <c r="P34">
        <v>207.376</v>
      </c>
      <c r="Q34">
        <v>8624.1689999999999</v>
      </c>
      <c r="R34">
        <v>1028.5329999999999</v>
      </c>
      <c r="S34">
        <v>158</v>
      </c>
      <c r="T34">
        <v>212.47300000000001</v>
      </c>
      <c r="U34">
        <v>21.331</v>
      </c>
      <c r="V34">
        <v>493.45</v>
      </c>
      <c r="W34">
        <v>8360.3230000000003</v>
      </c>
      <c r="X34">
        <v>7730.268</v>
      </c>
      <c r="Y34">
        <v>972.91700000000003</v>
      </c>
      <c r="Z34">
        <v>1288.7660000000001</v>
      </c>
    </row>
    <row r="35" spans="1:26" x14ac:dyDescent="0.3">
      <c r="A35">
        <v>2019</v>
      </c>
      <c r="B35">
        <v>91.148899999999998</v>
      </c>
      <c r="C35">
        <v>14665.218500000001</v>
      </c>
      <c r="D35">
        <v>1081.0944999999999</v>
      </c>
      <c r="E35">
        <v>2861.0023000000001</v>
      </c>
      <c r="G35">
        <v>5988.8734999999997</v>
      </c>
      <c r="H35">
        <v>1636.7158999999999</v>
      </c>
      <c r="I35">
        <v>1215.1714999999999</v>
      </c>
      <c r="J35">
        <v>18373.070500000002</v>
      </c>
      <c r="K35">
        <v>1279.7469000000001</v>
      </c>
      <c r="L35">
        <v>726.03279999999995</v>
      </c>
      <c r="M35" s="4">
        <v>1.9259999999999999</v>
      </c>
      <c r="N35">
        <v>2746.1685000000002</v>
      </c>
      <c r="O35">
        <v>248.9667</v>
      </c>
      <c r="P35">
        <v>102.5624</v>
      </c>
      <c r="Q35">
        <v>6601.7646000000004</v>
      </c>
      <c r="R35">
        <v>913.05449999999996</v>
      </c>
      <c r="S35">
        <v>1951.0119999999999</v>
      </c>
      <c r="T35">
        <v>237.92570000000001</v>
      </c>
      <c r="U35">
        <v>9.6940000000000008</v>
      </c>
      <c r="V35">
        <v>624.56330000000003</v>
      </c>
      <c r="W35">
        <v>6602.4427999999998</v>
      </c>
      <c r="X35">
        <v>9616.3732999999993</v>
      </c>
      <c r="Y35">
        <v>1772.1999000000001</v>
      </c>
      <c r="Z35">
        <v>1698.1917000000001</v>
      </c>
    </row>
    <row r="36" spans="1:26" x14ac:dyDescent="0.3">
      <c r="A36">
        <v>2020</v>
      </c>
      <c r="B36">
        <v>72.247600000000006</v>
      </c>
      <c r="C36">
        <v>15322.534799999999</v>
      </c>
      <c r="D36">
        <v>1192.9186</v>
      </c>
      <c r="E36">
        <v>3167.9187999999999</v>
      </c>
      <c r="G36">
        <v>6234.1655000000001</v>
      </c>
      <c r="H36">
        <v>3027.8044</v>
      </c>
      <c r="I36">
        <v>1054.01</v>
      </c>
      <c r="J36">
        <v>19515.287400000001</v>
      </c>
      <c r="K36">
        <v>1193.8541</v>
      </c>
      <c r="L36">
        <v>823.40530000000001</v>
      </c>
      <c r="M36" s="4">
        <v>18.341699999999999</v>
      </c>
      <c r="N36">
        <v>2979.4423999999999</v>
      </c>
      <c r="O36">
        <v>188.65520000000001</v>
      </c>
      <c r="P36">
        <v>318.8603</v>
      </c>
      <c r="Q36">
        <v>5442.4997999999996</v>
      </c>
      <c r="R36">
        <v>732.20860000000005</v>
      </c>
      <c r="S36">
        <v>219.91739999999999</v>
      </c>
      <c r="T36">
        <v>281.54109999999997</v>
      </c>
      <c r="U36">
        <v>39.798900000000003</v>
      </c>
      <c r="V36">
        <v>461.90570000000002</v>
      </c>
      <c r="W36">
        <v>5547.9268000000002</v>
      </c>
      <c r="X36">
        <v>5075.3346000000001</v>
      </c>
      <c r="Y36">
        <v>1991.2710999999999</v>
      </c>
      <c r="Z36">
        <v>1503.2</v>
      </c>
    </row>
    <row r="37" spans="1:26" x14ac:dyDescent="0.3">
      <c r="A37">
        <v>2021</v>
      </c>
      <c r="B37">
        <v>52.167000000000002</v>
      </c>
      <c r="C37">
        <v>10657.299000000001</v>
      </c>
      <c r="D37">
        <v>732.49220000000003</v>
      </c>
      <c r="E37">
        <v>2151.5857999999998</v>
      </c>
      <c r="G37">
        <v>985.72699999999998</v>
      </c>
      <c r="H37">
        <v>9183.4568999999992</v>
      </c>
      <c r="I37">
        <v>1589.4719</v>
      </c>
      <c r="J37">
        <v>17621.347000000002</v>
      </c>
      <c r="K37">
        <v>143.303</v>
      </c>
      <c r="L37">
        <v>1024.7244000000001</v>
      </c>
      <c r="M37" s="4">
        <v>1.7549999999999999</v>
      </c>
      <c r="N37">
        <v>1279.1881000000001</v>
      </c>
      <c r="O37">
        <v>186.74180000000001</v>
      </c>
      <c r="P37">
        <v>1156.5286000000001</v>
      </c>
      <c r="Q37">
        <v>4318.3193000000001</v>
      </c>
      <c r="R37">
        <v>660.25540000000001</v>
      </c>
      <c r="S37">
        <v>4.7E-2</v>
      </c>
      <c r="T37">
        <v>281.29379999999998</v>
      </c>
      <c r="U37">
        <v>50.414999999999999</v>
      </c>
      <c r="V37">
        <v>405.13</v>
      </c>
      <c r="W37">
        <v>5473.9638999999997</v>
      </c>
      <c r="X37">
        <v>4137.8810000000003</v>
      </c>
      <c r="Y37">
        <v>818.64</v>
      </c>
      <c r="Z37">
        <v>1318.3036</v>
      </c>
    </row>
  </sheetData>
  <autoFilter ref="A1:Z1" xr:uid="{00000000-0001-0000-0000-000000000000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6B01-6D2B-4FF2-A0FE-FCF754DEDFBD}">
  <dimension ref="A1:AG252"/>
  <sheetViews>
    <sheetView topLeftCell="A211" zoomScale="70" zoomScaleNormal="70" workbookViewId="0">
      <selection activeCell="A201" sqref="A201"/>
    </sheetView>
  </sheetViews>
  <sheetFormatPr defaultRowHeight="14.4" x14ac:dyDescent="0.3"/>
  <cols>
    <col min="1" max="1" width="19.88671875" bestFit="1" customWidth="1"/>
    <col min="2" max="2" width="26.5546875" bestFit="1" customWidth="1"/>
    <col min="23" max="23" width="12.6640625" bestFit="1" customWidth="1"/>
  </cols>
  <sheetData>
    <row r="1" spans="1:23" x14ac:dyDescent="0.3">
      <c r="A1" s="6" t="s">
        <v>25</v>
      </c>
      <c r="B1" s="6" t="s">
        <v>26</v>
      </c>
      <c r="C1" s="6">
        <v>1991</v>
      </c>
      <c r="D1" s="7">
        <v>1992</v>
      </c>
      <c r="E1" s="7">
        <v>1993</v>
      </c>
      <c r="F1" s="7">
        <v>1994</v>
      </c>
      <c r="G1" s="7">
        <v>1995</v>
      </c>
      <c r="H1" s="7">
        <v>1996</v>
      </c>
      <c r="I1" s="7">
        <v>1997</v>
      </c>
      <c r="J1" s="7">
        <v>1998</v>
      </c>
      <c r="K1" s="7">
        <v>1999</v>
      </c>
      <c r="L1" s="7">
        <v>2000</v>
      </c>
      <c r="M1" s="7">
        <v>2001</v>
      </c>
      <c r="N1" s="7">
        <v>2002</v>
      </c>
      <c r="O1" s="7">
        <v>2003</v>
      </c>
      <c r="P1" s="7">
        <v>2004</v>
      </c>
      <c r="Q1" s="7">
        <v>2005</v>
      </c>
      <c r="R1" s="7">
        <v>2006</v>
      </c>
      <c r="S1" s="7">
        <v>2007</v>
      </c>
      <c r="T1" s="7">
        <v>2008</v>
      </c>
      <c r="U1" s="7">
        <v>2009</v>
      </c>
      <c r="V1" s="7">
        <v>2010</v>
      </c>
      <c r="W1" s="7" t="s">
        <v>137</v>
      </c>
    </row>
    <row r="2" spans="1:23" x14ac:dyDescent="0.3">
      <c r="A2" s="8" t="s">
        <v>27</v>
      </c>
      <c r="B2" s="8" t="s">
        <v>91</v>
      </c>
      <c r="C2" s="8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3</v>
      </c>
      <c r="S2" s="9">
        <v>3</v>
      </c>
      <c r="T2" s="9">
        <v>4</v>
      </c>
      <c r="U2" s="9">
        <v>6</v>
      </c>
      <c r="V2" s="9">
        <v>7</v>
      </c>
      <c r="W2" s="9" t="s">
        <v>3</v>
      </c>
    </row>
    <row r="3" spans="1:23" x14ac:dyDescent="0.3">
      <c r="A3" s="8" t="s">
        <v>27</v>
      </c>
      <c r="B3" s="8" t="s">
        <v>92</v>
      </c>
      <c r="C3" s="8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0.5</v>
      </c>
      <c r="L3" s="9">
        <v>2</v>
      </c>
      <c r="M3" s="9">
        <v>3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 t="s">
        <v>3</v>
      </c>
    </row>
    <row r="4" spans="1:23" x14ac:dyDescent="0.3">
      <c r="A4" s="8" t="s">
        <v>27</v>
      </c>
      <c r="B4" s="8" t="s">
        <v>93</v>
      </c>
      <c r="C4" s="8">
        <v>1</v>
      </c>
      <c r="D4" s="9">
        <v>1</v>
      </c>
      <c r="E4" s="9">
        <v>6</v>
      </c>
      <c r="F4" s="9">
        <v>1</v>
      </c>
      <c r="G4" s="9">
        <v>0</v>
      </c>
      <c r="H4" s="9">
        <v>4</v>
      </c>
      <c r="I4" s="9">
        <v>0</v>
      </c>
      <c r="J4" s="9">
        <v>2</v>
      </c>
      <c r="K4" s="9">
        <v>0</v>
      </c>
      <c r="L4" s="9">
        <v>1</v>
      </c>
      <c r="M4" s="9">
        <v>2</v>
      </c>
      <c r="N4" s="9">
        <v>3</v>
      </c>
      <c r="O4" s="9">
        <v>0</v>
      </c>
      <c r="P4" s="9">
        <v>0.5</v>
      </c>
      <c r="Q4" s="9">
        <v>0</v>
      </c>
      <c r="R4" s="9">
        <v>0</v>
      </c>
      <c r="S4" s="9">
        <v>0</v>
      </c>
      <c r="T4" s="9">
        <v>0</v>
      </c>
      <c r="U4" s="9">
        <v>0.5</v>
      </c>
      <c r="V4" s="9">
        <v>0</v>
      </c>
      <c r="W4" s="9" t="s">
        <v>3</v>
      </c>
    </row>
    <row r="5" spans="1:23" x14ac:dyDescent="0.3">
      <c r="A5" s="8" t="s">
        <v>27</v>
      </c>
      <c r="B5" s="8" t="s">
        <v>102</v>
      </c>
      <c r="C5" s="8">
        <v>189</v>
      </c>
      <c r="D5" s="9">
        <v>179</v>
      </c>
      <c r="E5" s="9">
        <v>385</v>
      </c>
      <c r="F5" s="9">
        <v>381</v>
      </c>
      <c r="G5" s="9">
        <v>287</v>
      </c>
      <c r="H5" s="9">
        <v>630</v>
      </c>
      <c r="I5" s="9">
        <v>485</v>
      </c>
      <c r="J5" s="9">
        <v>248</v>
      </c>
      <c r="K5" s="9">
        <v>158</v>
      </c>
      <c r="L5" s="9">
        <v>187</v>
      </c>
      <c r="M5" s="9">
        <v>106</v>
      </c>
      <c r="N5" s="9">
        <v>107</v>
      </c>
      <c r="O5" s="9">
        <v>44</v>
      </c>
      <c r="P5" s="9">
        <v>46</v>
      </c>
      <c r="Q5" s="9">
        <v>35</v>
      </c>
      <c r="R5" s="9">
        <v>26</v>
      </c>
      <c r="S5" s="9">
        <v>17</v>
      </c>
      <c r="T5" s="9">
        <v>25</v>
      </c>
      <c r="U5" s="9">
        <v>27</v>
      </c>
      <c r="V5" s="9">
        <v>22</v>
      </c>
      <c r="W5" s="9" t="s">
        <v>3</v>
      </c>
    </row>
    <row r="6" spans="1:23" x14ac:dyDescent="0.3">
      <c r="A6" s="8" t="s">
        <v>27</v>
      </c>
      <c r="B6" s="8" t="s">
        <v>103</v>
      </c>
      <c r="C6" s="8">
        <v>3</v>
      </c>
      <c r="D6" s="9">
        <v>0</v>
      </c>
      <c r="E6" s="9">
        <v>1</v>
      </c>
      <c r="F6" s="9">
        <v>2</v>
      </c>
      <c r="G6" s="9">
        <v>1</v>
      </c>
      <c r="H6" s="9">
        <v>3</v>
      </c>
      <c r="I6" s="9">
        <v>2</v>
      </c>
      <c r="J6" s="9">
        <v>1</v>
      </c>
      <c r="K6" s="9">
        <v>1</v>
      </c>
      <c r="L6" s="9">
        <v>1</v>
      </c>
      <c r="M6" s="9">
        <v>5</v>
      </c>
      <c r="N6" s="9">
        <v>6</v>
      </c>
      <c r="O6" s="9">
        <v>3</v>
      </c>
      <c r="P6" s="9">
        <v>3</v>
      </c>
      <c r="Q6" s="9">
        <v>2</v>
      </c>
      <c r="R6" s="9">
        <v>1</v>
      </c>
      <c r="S6" s="9">
        <v>1</v>
      </c>
      <c r="T6" s="9">
        <v>2</v>
      </c>
      <c r="U6" s="9">
        <v>1</v>
      </c>
      <c r="V6" s="9">
        <v>1</v>
      </c>
      <c r="W6" s="9" t="s">
        <v>3</v>
      </c>
    </row>
    <row r="7" spans="1:23" x14ac:dyDescent="0.3">
      <c r="A7" s="8" t="s">
        <v>27</v>
      </c>
      <c r="B7" s="8" t="s">
        <v>104</v>
      </c>
      <c r="C7" s="8">
        <v>2</v>
      </c>
      <c r="D7" s="9">
        <v>1</v>
      </c>
      <c r="E7" s="9">
        <v>2</v>
      </c>
      <c r="F7" s="9">
        <v>1</v>
      </c>
      <c r="G7" s="9">
        <v>1</v>
      </c>
      <c r="H7" s="9">
        <v>1</v>
      </c>
      <c r="I7" s="9">
        <v>0</v>
      </c>
      <c r="J7" s="9">
        <v>1</v>
      </c>
      <c r="K7" s="9">
        <v>0</v>
      </c>
      <c r="L7" s="9">
        <v>1</v>
      </c>
      <c r="M7" s="9">
        <v>1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 t="s">
        <v>3</v>
      </c>
    </row>
    <row r="8" spans="1:23" x14ac:dyDescent="0.3">
      <c r="A8" s="8" t="s">
        <v>27</v>
      </c>
      <c r="B8" s="8" t="s">
        <v>105</v>
      </c>
      <c r="C8" s="8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 t="s">
        <v>3</v>
      </c>
    </row>
    <row r="9" spans="1:23" x14ac:dyDescent="0.3">
      <c r="A9" s="8" t="s">
        <v>27</v>
      </c>
      <c r="B9" s="8" t="s">
        <v>138</v>
      </c>
      <c r="C9" s="8">
        <v>10</v>
      </c>
      <c r="D9" s="9">
        <v>18</v>
      </c>
      <c r="E9" s="9">
        <v>32</v>
      </c>
      <c r="F9" s="9">
        <v>13</v>
      </c>
      <c r="G9" s="9">
        <v>8</v>
      </c>
      <c r="H9" s="9">
        <v>16</v>
      </c>
      <c r="I9" s="9">
        <v>13</v>
      </c>
      <c r="J9" s="9">
        <v>5</v>
      </c>
      <c r="K9" s="9">
        <v>4</v>
      </c>
      <c r="L9" s="9">
        <v>10</v>
      </c>
      <c r="M9" s="9">
        <v>4</v>
      </c>
      <c r="N9" s="9">
        <v>7</v>
      </c>
      <c r="O9" s="9">
        <v>4</v>
      </c>
      <c r="P9" s="9">
        <v>3</v>
      </c>
      <c r="Q9" s="9">
        <v>2</v>
      </c>
      <c r="R9" s="9">
        <v>1</v>
      </c>
      <c r="S9" s="9">
        <v>1</v>
      </c>
      <c r="T9" s="9">
        <v>1</v>
      </c>
      <c r="U9" s="9">
        <v>3</v>
      </c>
      <c r="V9" s="9">
        <v>3</v>
      </c>
      <c r="W9" s="9" t="s">
        <v>3</v>
      </c>
    </row>
    <row r="10" spans="1:23" x14ac:dyDescent="0.3">
      <c r="A10" s="8" t="s">
        <v>27</v>
      </c>
      <c r="B10" s="8" t="s">
        <v>106</v>
      </c>
      <c r="C10" s="8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56</v>
      </c>
      <c r="S10" s="9">
        <v>51</v>
      </c>
      <c r="T10" s="9">
        <v>71</v>
      </c>
      <c r="U10" s="9">
        <v>0</v>
      </c>
      <c r="V10" s="9">
        <v>0</v>
      </c>
      <c r="W10" s="9" t="s">
        <v>3</v>
      </c>
    </row>
    <row r="11" spans="1:23" x14ac:dyDescent="0.3">
      <c r="A11" s="8" t="s">
        <v>27</v>
      </c>
      <c r="B11" s="8" t="s">
        <v>117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 t="s">
        <v>3</v>
      </c>
    </row>
    <row r="12" spans="1:23" x14ac:dyDescent="0.3">
      <c r="A12" s="8" t="s">
        <v>27</v>
      </c>
      <c r="B12" s="8" t="s">
        <v>118</v>
      </c>
      <c r="C12" s="8">
        <v>5</v>
      </c>
      <c r="D12" s="9">
        <v>11</v>
      </c>
      <c r="E12" s="9">
        <v>9</v>
      </c>
      <c r="F12" s="9">
        <v>6</v>
      </c>
      <c r="G12" s="9">
        <v>3</v>
      </c>
      <c r="H12" s="9">
        <v>6</v>
      </c>
      <c r="I12" s="9">
        <v>3</v>
      </c>
      <c r="J12" s="9">
        <v>2</v>
      </c>
      <c r="K12" s="9">
        <v>3</v>
      </c>
      <c r="L12" s="9">
        <v>4</v>
      </c>
      <c r="M12" s="9">
        <v>3</v>
      </c>
      <c r="N12" s="9">
        <v>2</v>
      </c>
      <c r="O12" s="9">
        <v>2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  <c r="U12" s="9">
        <v>1</v>
      </c>
      <c r="V12" s="9">
        <v>1</v>
      </c>
      <c r="W12" s="9" t="s">
        <v>3</v>
      </c>
    </row>
    <row r="13" spans="1:23" x14ac:dyDescent="0.3">
      <c r="A13" s="8" t="s">
        <v>27</v>
      </c>
      <c r="B13" s="8" t="s">
        <v>119</v>
      </c>
      <c r="C13" s="8">
        <v>13</v>
      </c>
      <c r="D13" s="9">
        <v>12</v>
      </c>
      <c r="E13" s="9">
        <v>34</v>
      </c>
      <c r="F13" s="9">
        <v>37</v>
      </c>
      <c r="G13" s="9">
        <v>26</v>
      </c>
      <c r="H13" s="9">
        <v>28</v>
      </c>
      <c r="I13" s="9">
        <v>17</v>
      </c>
      <c r="J13" s="9">
        <v>17</v>
      </c>
      <c r="K13" s="9">
        <v>11</v>
      </c>
      <c r="L13" s="9">
        <v>15</v>
      </c>
      <c r="M13" s="9">
        <v>15</v>
      </c>
      <c r="N13" s="9">
        <v>16</v>
      </c>
      <c r="O13" s="9">
        <v>9</v>
      </c>
      <c r="P13" s="9">
        <v>5</v>
      </c>
      <c r="Q13" s="9">
        <v>4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 t="s">
        <v>3</v>
      </c>
    </row>
    <row r="14" spans="1:23" x14ac:dyDescent="0.3">
      <c r="A14" s="8" t="s">
        <v>27</v>
      </c>
      <c r="B14" s="8" t="s">
        <v>120</v>
      </c>
      <c r="C14" s="8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 t="s">
        <v>3</v>
      </c>
    </row>
    <row r="15" spans="1:23" x14ac:dyDescent="0.3">
      <c r="A15" s="8" t="s">
        <v>27</v>
      </c>
      <c r="B15" s="8" t="s">
        <v>121</v>
      </c>
      <c r="C15" s="8">
        <v>17</v>
      </c>
      <c r="D15" s="9">
        <v>9</v>
      </c>
      <c r="E15" s="9">
        <v>17</v>
      </c>
      <c r="F15" s="9">
        <v>16</v>
      </c>
      <c r="G15" s="9">
        <v>12</v>
      </c>
      <c r="H15" s="9">
        <v>15</v>
      </c>
      <c r="I15" s="9">
        <v>9</v>
      </c>
      <c r="J15" s="9">
        <v>11</v>
      </c>
      <c r="K15" s="9">
        <v>9</v>
      </c>
      <c r="L15" s="9">
        <v>15</v>
      </c>
      <c r="M15" s="9">
        <v>25</v>
      </c>
      <c r="N15" s="9">
        <v>26</v>
      </c>
      <c r="O15" s="9">
        <v>18</v>
      </c>
      <c r="P15" s="9">
        <v>15</v>
      </c>
      <c r="Q15" s="9">
        <v>14</v>
      </c>
      <c r="R15" s="9">
        <v>15</v>
      </c>
      <c r="S15" s="9">
        <v>10</v>
      </c>
      <c r="T15" s="9">
        <v>15</v>
      </c>
      <c r="U15" s="9">
        <v>17</v>
      </c>
      <c r="V15" s="9">
        <v>7</v>
      </c>
      <c r="W15" s="9" t="s">
        <v>3</v>
      </c>
    </row>
    <row r="16" spans="1:23" x14ac:dyDescent="0.3">
      <c r="A16" s="8" t="s">
        <v>27</v>
      </c>
      <c r="B16" s="8" t="s">
        <v>122</v>
      </c>
      <c r="C16" s="8">
        <v>39</v>
      </c>
      <c r="D16" s="9">
        <v>30</v>
      </c>
      <c r="E16" s="9">
        <v>38</v>
      </c>
      <c r="F16" s="9">
        <v>60</v>
      </c>
      <c r="G16" s="9">
        <v>50</v>
      </c>
      <c r="H16" s="9">
        <v>37</v>
      </c>
      <c r="I16" s="9">
        <v>39</v>
      </c>
      <c r="J16" s="9">
        <v>29</v>
      </c>
      <c r="K16" s="9">
        <v>32</v>
      </c>
      <c r="L16" s="9">
        <v>73</v>
      </c>
      <c r="M16" s="9">
        <v>113</v>
      </c>
      <c r="N16" s="9">
        <v>92</v>
      </c>
      <c r="O16" s="9">
        <v>61</v>
      </c>
      <c r="P16" s="9">
        <v>52</v>
      </c>
      <c r="Q16" s="9">
        <v>50</v>
      </c>
      <c r="R16" s="9">
        <v>0</v>
      </c>
      <c r="S16" s="9">
        <v>0</v>
      </c>
      <c r="T16" s="9">
        <v>0</v>
      </c>
      <c r="U16" s="9">
        <v>72</v>
      </c>
      <c r="V16" s="9">
        <v>64</v>
      </c>
      <c r="W16" s="9" t="s">
        <v>3</v>
      </c>
    </row>
    <row r="17" spans="1:23" x14ac:dyDescent="0.3">
      <c r="A17" s="8" t="s">
        <v>36</v>
      </c>
      <c r="B17" s="8" t="s">
        <v>94</v>
      </c>
      <c r="C17" s="8">
        <v>2</v>
      </c>
      <c r="D17" s="9">
        <v>0.5</v>
      </c>
      <c r="E17" s="9">
        <v>0</v>
      </c>
      <c r="F17" s="9">
        <v>0.5</v>
      </c>
      <c r="G17" s="9">
        <v>0.5</v>
      </c>
      <c r="H17" s="9">
        <v>0.5</v>
      </c>
      <c r="I17" s="9">
        <v>0.5</v>
      </c>
      <c r="J17" s="9">
        <v>0.5</v>
      </c>
      <c r="K17" s="9">
        <v>0.5</v>
      </c>
      <c r="L17" s="9">
        <v>0.5</v>
      </c>
      <c r="M17" s="9">
        <v>0.5</v>
      </c>
      <c r="N17" s="9">
        <v>0.5</v>
      </c>
      <c r="O17" s="9">
        <v>0.5</v>
      </c>
      <c r="P17" s="9">
        <v>0.5</v>
      </c>
      <c r="Q17" s="9">
        <v>0</v>
      </c>
      <c r="R17" s="9">
        <v>0.5</v>
      </c>
      <c r="S17" s="9">
        <v>0.5</v>
      </c>
      <c r="T17" s="9">
        <v>0</v>
      </c>
      <c r="U17" s="9">
        <v>0</v>
      </c>
      <c r="V17" s="9">
        <v>0</v>
      </c>
      <c r="W17" s="9" t="s">
        <v>3</v>
      </c>
    </row>
    <row r="18" spans="1:23" x14ac:dyDescent="0.3">
      <c r="A18" s="8" t="s">
        <v>36</v>
      </c>
      <c r="B18" s="8" t="s">
        <v>92</v>
      </c>
      <c r="C18" s="8">
        <v>0</v>
      </c>
      <c r="D18" s="9">
        <v>0</v>
      </c>
      <c r="E18" s="9">
        <v>0</v>
      </c>
      <c r="F18" s="9">
        <v>0.5</v>
      </c>
      <c r="G18" s="9">
        <v>0</v>
      </c>
      <c r="H18" s="9">
        <v>0.5</v>
      </c>
      <c r="I18" s="9">
        <v>0.5</v>
      </c>
      <c r="J18" s="9">
        <v>0.5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 t="s">
        <v>3</v>
      </c>
    </row>
    <row r="19" spans="1:23" x14ac:dyDescent="0.3">
      <c r="A19" s="8" t="s">
        <v>36</v>
      </c>
      <c r="B19" s="8" t="s">
        <v>93</v>
      </c>
      <c r="C19" s="8">
        <v>1</v>
      </c>
      <c r="D19" s="9">
        <v>0.5</v>
      </c>
      <c r="E19" s="9">
        <v>0.5</v>
      </c>
      <c r="F19" s="9">
        <v>0.5</v>
      </c>
      <c r="G19" s="9">
        <v>0.5</v>
      </c>
      <c r="H19" s="9">
        <v>0.5</v>
      </c>
      <c r="I19" s="9">
        <v>0.5</v>
      </c>
      <c r="J19" s="9">
        <v>0.5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 t="s">
        <v>3</v>
      </c>
    </row>
    <row r="20" spans="1:23" x14ac:dyDescent="0.3">
      <c r="A20" s="8" t="s">
        <v>36</v>
      </c>
      <c r="B20" s="8" t="s">
        <v>95</v>
      </c>
      <c r="C20" s="8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0.5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 t="s">
        <v>3</v>
      </c>
    </row>
    <row r="21" spans="1:23" x14ac:dyDescent="0.3">
      <c r="A21" s="8" t="s">
        <v>36</v>
      </c>
      <c r="B21" s="8" t="s">
        <v>102</v>
      </c>
      <c r="C21" s="8">
        <v>0.5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 t="s">
        <v>3</v>
      </c>
    </row>
    <row r="22" spans="1:23" x14ac:dyDescent="0.3">
      <c r="A22" s="8" t="s">
        <v>36</v>
      </c>
      <c r="B22" s="8" t="s">
        <v>107</v>
      </c>
      <c r="C22" s="8">
        <v>0</v>
      </c>
      <c r="D22" s="9">
        <v>0</v>
      </c>
      <c r="E22" s="9">
        <v>0</v>
      </c>
      <c r="F22" s="9">
        <v>0.5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 t="s">
        <v>3</v>
      </c>
    </row>
    <row r="23" spans="1:23" x14ac:dyDescent="0.3">
      <c r="A23" s="8" t="s">
        <v>36</v>
      </c>
      <c r="B23" s="8" t="s">
        <v>104</v>
      </c>
      <c r="C23" s="8">
        <v>1</v>
      </c>
      <c r="D23" s="9">
        <v>0.5</v>
      </c>
      <c r="E23" s="9">
        <v>0.5</v>
      </c>
      <c r="F23" s="9">
        <v>0.5</v>
      </c>
      <c r="G23" s="9">
        <v>0.5</v>
      </c>
      <c r="H23" s="9">
        <v>0.5</v>
      </c>
      <c r="I23" s="9">
        <v>0.5</v>
      </c>
      <c r="J23" s="9">
        <v>0.5</v>
      </c>
      <c r="K23" s="9">
        <v>0</v>
      </c>
      <c r="L23" s="9">
        <v>0.5</v>
      </c>
      <c r="M23" s="9">
        <v>0.5</v>
      </c>
      <c r="N23" s="9">
        <v>0.5</v>
      </c>
      <c r="O23" s="9">
        <v>0.5</v>
      </c>
      <c r="P23" s="9">
        <v>0.5</v>
      </c>
      <c r="Q23" s="9">
        <v>0</v>
      </c>
      <c r="R23" s="9">
        <v>0.5</v>
      </c>
      <c r="S23" s="9">
        <v>0.5</v>
      </c>
      <c r="T23" s="9">
        <v>0</v>
      </c>
      <c r="U23" s="9">
        <v>0.5</v>
      </c>
      <c r="V23" s="9">
        <v>0</v>
      </c>
      <c r="W23" s="9" t="s">
        <v>3</v>
      </c>
    </row>
    <row r="24" spans="1:23" x14ac:dyDescent="0.3">
      <c r="A24" s="8" t="s">
        <v>36</v>
      </c>
      <c r="B24" s="8" t="s">
        <v>108</v>
      </c>
      <c r="C24" s="8">
        <v>0</v>
      </c>
      <c r="D24" s="9">
        <v>0</v>
      </c>
      <c r="E24" s="9">
        <v>0</v>
      </c>
      <c r="F24" s="9">
        <v>0</v>
      </c>
      <c r="G24" s="9">
        <v>0</v>
      </c>
      <c r="H24" s="9">
        <v>0.5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0.5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 t="s">
        <v>3</v>
      </c>
    </row>
    <row r="25" spans="1:23" x14ac:dyDescent="0.3">
      <c r="A25" s="8" t="s">
        <v>36</v>
      </c>
      <c r="B25" s="8" t="s">
        <v>105</v>
      </c>
      <c r="C25" s="8">
        <v>2</v>
      </c>
      <c r="D25" s="9">
        <v>21</v>
      </c>
      <c r="E25" s="9">
        <v>3</v>
      </c>
      <c r="F25" s="9">
        <v>2</v>
      </c>
      <c r="G25" s="9">
        <v>0.5</v>
      </c>
      <c r="H25" s="9">
        <v>3</v>
      </c>
      <c r="I25" s="9">
        <v>3</v>
      </c>
      <c r="J25" s="9">
        <v>5</v>
      </c>
      <c r="K25" s="9">
        <v>0</v>
      </c>
      <c r="L25" s="9">
        <v>4</v>
      </c>
      <c r="M25" s="9">
        <v>2</v>
      </c>
      <c r="N25" s="9">
        <v>0.5</v>
      </c>
      <c r="O25" s="9">
        <v>1</v>
      </c>
      <c r="P25" s="9">
        <v>1</v>
      </c>
      <c r="Q25" s="9">
        <v>1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 t="s">
        <v>3</v>
      </c>
    </row>
    <row r="26" spans="1:23" x14ac:dyDescent="0.3">
      <c r="A26" s="8" t="s">
        <v>36</v>
      </c>
      <c r="B26" s="8" t="s">
        <v>109</v>
      </c>
      <c r="C26" s="8">
        <v>0</v>
      </c>
      <c r="D26" s="9">
        <v>0.5</v>
      </c>
      <c r="E26" s="9">
        <v>0</v>
      </c>
      <c r="F26" s="9">
        <v>0.5</v>
      </c>
      <c r="G26" s="9">
        <v>0</v>
      </c>
      <c r="H26" s="9">
        <v>0.5</v>
      </c>
      <c r="I26" s="9">
        <v>0.5</v>
      </c>
      <c r="J26" s="9">
        <v>0.5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 t="s">
        <v>3</v>
      </c>
    </row>
    <row r="27" spans="1:23" x14ac:dyDescent="0.3">
      <c r="A27" s="8" t="s">
        <v>36</v>
      </c>
      <c r="B27" s="8" t="s">
        <v>138</v>
      </c>
      <c r="C27" s="8">
        <v>2</v>
      </c>
      <c r="D27" s="9">
        <v>8</v>
      </c>
      <c r="E27" s="9">
        <v>1</v>
      </c>
      <c r="F27" s="9">
        <v>6</v>
      </c>
      <c r="G27" s="9">
        <v>1</v>
      </c>
      <c r="H27" s="9">
        <v>8</v>
      </c>
      <c r="I27" s="9">
        <v>3</v>
      </c>
      <c r="J27" s="9">
        <v>5</v>
      </c>
      <c r="K27" s="9">
        <v>2</v>
      </c>
      <c r="L27" s="9">
        <v>1</v>
      </c>
      <c r="M27" s="9">
        <v>1</v>
      </c>
      <c r="N27" s="9">
        <v>0.5</v>
      </c>
      <c r="O27" s="9">
        <v>0.5</v>
      </c>
      <c r="P27" s="9">
        <v>2</v>
      </c>
      <c r="Q27" s="9">
        <v>1</v>
      </c>
      <c r="R27" s="9">
        <v>4</v>
      </c>
      <c r="S27" s="9">
        <v>1</v>
      </c>
      <c r="T27" s="9">
        <v>1</v>
      </c>
      <c r="U27" s="9">
        <v>1</v>
      </c>
      <c r="V27" s="9">
        <v>3</v>
      </c>
      <c r="W27" s="9" t="s">
        <v>3</v>
      </c>
    </row>
    <row r="28" spans="1:23" x14ac:dyDescent="0.3">
      <c r="A28" s="8" t="s">
        <v>36</v>
      </c>
      <c r="B28" s="8" t="s">
        <v>106</v>
      </c>
      <c r="C28" s="8">
        <v>0</v>
      </c>
      <c r="D28" s="9">
        <v>0</v>
      </c>
      <c r="E28" s="9">
        <v>0</v>
      </c>
      <c r="F28" s="9">
        <v>2</v>
      </c>
      <c r="G28" s="9">
        <v>0.5</v>
      </c>
      <c r="H28" s="9">
        <v>0.5</v>
      </c>
      <c r="I28" s="9">
        <v>2</v>
      </c>
      <c r="J28" s="9">
        <v>2</v>
      </c>
      <c r="K28" s="9">
        <v>1</v>
      </c>
      <c r="L28" s="9">
        <v>0</v>
      </c>
      <c r="M28" s="9">
        <v>0</v>
      </c>
      <c r="N28" s="9">
        <v>3</v>
      </c>
      <c r="O28" s="9">
        <v>5</v>
      </c>
      <c r="P28" s="9">
        <v>9</v>
      </c>
      <c r="Q28" s="9">
        <v>11</v>
      </c>
      <c r="R28" s="9">
        <v>18</v>
      </c>
      <c r="S28" s="9">
        <v>10</v>
      </c>
      <c r="T28" s="9">
        <v>6</v>
      </c>
      <c r="U28" s="9">
        <v>9</v>
      </c>
      <c r="V28" s="9">
        <v>14</v>
      </c>
      <c r="W28" s="9" t="s">
        <v>3</v>
      </c>
    </row>
    <row r="29" spans="1:23" x14ac:dyDescent="0.3">
      <c r="A29" s="8" t="s">
        <v>36</v>
      </c>
      <c r="B29" s="8" t="s">
        <v>118</v>
      </c>
      <c r="C29" s="8">
        <v>1</v>
      </c>
      <c r="D29" s="9">
        <v>0.5</v>
      </c>
      <c r="E29" s="9">
        <v>1</v>
      </c>
      <c r="F29" s="9">
        <v>1</v>
      </c>
      <c r="G29" s="9">
        <v>0.5</v>
      </c>
      <c r="H29" s="9">
        <v>1</v>
      </c>
      <c r="I29" s="9">
        <v>0.5</v>
      </c>
      <c r="J29" s="9">
        <v>0.5</v>
      </c>
      <c r="K29" s="9">
        <v>1</v>
      </c>
      <c r="L29" s="9">
        <v>0.5</v>
      </c>
      <c r="M29" s="9">
        <v>1</v>
      </c>
      <c r="N29" s="9">
        <v>0.5</v>
      </c>
      <c r="O29" s="9">
        <v>0.5</v>
      </c>
      <c r="P29" s="9">
        <v>0.5</v>
      </c>
      <c r="Q29" s="9">
        <v>0</v>
      </c>
      <c r="R29" s="9">
        <v>0.5</v>
      </c>
      <c r="S29" s="9">
        <v>0.5</v>
      </c>
      <c r="T29" s="9">
        <v>0.5</v>
      </c>
      <c r="U29" s="9">
        <v>0.5</v>
      </c>
      <c r="V29" s="9">
        <v>0</v>
      </c>
      <c r="W29" s="9" t="s">
        <v>3</v>
      </c>
    </row>
    <row r="30" spans="1:23" x14ac:dyDescent="0.3">
      <c r="A30" s="8" t="s">
        <v>36</v>
      </c>
      <c r="B30" s="8" t="s">
        <v>123</v>
      </c>
      <c r="C30" s="8">
        <v>0</v>
      </c>
      <c r="D30" s="9">
        <v>0</v>
      </c>
      <c r="E30" s="9">
        <v>0</v>
      </c>
      <c r="F30" s="9">
        <v>0.5</v>
      </c>
      <c r="G30" s="9">
        <v>0</v>
      </c>
      <c r="H30" s="9">
        <v>0.5</v>
      </c>
      <c r="I30" s="9">
        <v>0</v>
      </c>
      <c r="J30" s="9">
        <v>0.5</v>
      </c>
      <c r="K30" s="9">
        <v>0</v>
      </c>
      <c r="L30" s="9">
        <v>0</v>
      </c>
      <c r="M30" s="9">
        <v>0.5</v>
      </c>
      <c r="N30" s="9">
        <v>0.5</v>
      </c>
      <c r="O30" s="9">
        <v>0</v>
      </c>
      <c r="P30" s="9">
        <v>0.5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 t="s">
        <v>3</v>
      </c>
    </row>
    <row r="31" spans="1:23" x14ac:dyDescent="0.3">
      <c r="A31" s="8" t="s">
        <v>36</v>
      </c>
      <c r="B31" s="8" t="s">
        <v>124</v>
      </c>
      <c r="C31" s="8">
        <v>0.5</v>
      </c>
      <c r="D31" s="9">
        <v>0.5</v>
      </c>
      <c r="E31" s="9">
        <v>0</v>
      </c>
      <c r="F31" s="9">
        <v>1</v>
      </c>
      <c r="G31" s="9">
        <v>0.5</v>
      </c>
      <c r="H31" s="9">
        <v>2</v>
      </c>
      <c r="I31" s="9">
        <v>1</v>
      </c>
      <c r="J31" s="9">
        <v>2</v>
      </c>
      <c r="K31" s="9">
        <v>0.5</v>
      </c>
      <c r="L31" s="9">
        <v>0.5</v>
      </c>
      <c r="M31" s="9">
        <v>0.5</v>
      </c>
      <c r="N31" s="9">
        <v>0.5</v>
      </c>
      <c r="O31" s="9">
        <v>2</v>
      </c>
      <c r="P31" s="9">
        <v>4</v>
      </c>
      <c r="Q31" s="9">
        <v>4</v>
      </c>
      <c r="R31" s="9">
        <v>16</v>
      </c>
      <c r="S31" s="9">
        <v>2</v>
      </c>
      <c r="T31" s="9">
        <v>1</v>
      </c>
      <c r="U31" s="9">
        <v>1</v>
      </c>
      <c r="V31" s="9">
        <v>1</v>
      </c>
      <c r="W31" s="9" t="s">
        <v>3</v>
      </c>
    </row>
    <row r="32" spans="1:23" x14ac:dyDescent="0.3">
      <c r="A32" s="8" t="s">
        <v>36</v>
      </c>
      <c r="B32" s="8" t="s">
        <v>125</v>
      </c>
      <c r="C32" s="8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0.5</v>
      </c>
      <c r="K32" s="9">
        <v>0.5</v>
      </c>
      <c r="L32" s="9">
        <v>0.5</v>
      </c>
      <c r="M32" s="9">
        <v>0.5</v>
      </c>
      <c r="N32" s="9">
        <v>0</v>
      </c>
      <c r="O32" s="9">
        <v>0</v>
      </c>
      <c r="P32" s="9">
        <v>0</v>
      </c>
      <c r="Q32" s="9">
        <v>0</v>
      </c>
      <c r="R32" s="9">
        <v>0.5</v>
      </c>
      <c r="S32" s="9">
        <v>0</v>
      </c>
      <c r="T32" s="9">
        <v>0</v>
      </c>
      <c r="U32" s="9">
        <v>0</v>
      </c>
      <c r="V32" s="9">
        <v>0</v>
      </c>
      <c r="W32" s="9" t="s">
        <v>3</v>
      </c>
    </row>
    <row r="33" spans="1:23" x14ac:dyDescent="0.3">
      <c r="A33" s="8" t="s">
        <v>36</v>
      </c>
      <c r="B33" s="8" t="s">
        <v>122</v>
      </c>
      <c r="C33" s="8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0.5</v>
      </c>
      <c r="M33" s="9">
        <v>1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 t="s">
        <v>3</v>
      </c>
    </row>
    <row r="34" spans="1:23" x14ac:dyDescent="0.3">
      <c r="A34" s="8" t="s">
        <v>36</v>
      </c>
      <c r="B34" s="8" t="s">
        <v>126</v>
      </c>
      <c r="C34" s="8">
        <v>0</v>
      </c>
      <c r="D34" s="9">
        <v>0</v>
      </c>
      <c r="E34" s="9">
        <v>0.5</v>
      </c>
      <c r="F34" s="9">
        <v>0.5</v>
      </c>
      <c r="G34" s="9">
        <v>0.5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0.5</v>
      </c>
      <c r="S34" s="9">
        <v>0</v>
      </c>
      <c r="T34" s="9">
        <v>0</v>
      </c>
      <c r="U34" s="9">
        <v>0</v>
      </c>
      <c r="V34" s="9">
        <v>0</v>
      </c>
      <c r="W34" s="9" t="s">
        <v>3</v>
      </c>
    </row>
    <row r="35" spans="1:23" x14ac:dyDescent="0.3">
      <c r="A35" s="8" t="s">
        <v>36</v>
      </c>
      <c r="B35" s="8" t="s">
        <v>127</v>
      </c>
      <c r="C35" s="8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0.5</v>
      </c>
      <c r="O35" s="9">
        <v>0</v>
      </c>
      <c r="P35" s="9">
        <v>0.5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 t="s">
        <v>3</v>
      </c>
    </row>
    <row r="36" spans="1:23" x14ac:dyDescent="0.3">
      <c r="A36" s="8" t="s">
        <v>36</v>
      </c>
      <c r="B36" s="8" t="s">
        <v>128</v>
      </c>
      <c r="C36" s="8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0.5</v>
      </c>
      <c r="L36" s="9">
        <v>0.5</v>
      </c>
      <c r="M36" s="9">
        <v>0.5</v>
      </c>
      <c r="N36" s="9">
        <v>0.5</v>
      </c>
      <c r="O36" s="9">
        <v>0.5</v>
      </c>
      <c r="P36" s="9">
        <v>0.5</v>
      </c>
      <c r="Q36" s="9">
        <v>0</v>
      </c>
      <c r="R36" s="9">
        <v>0.5</v>
      </c>
      <c r="S36" s="9">
        <v>0.5</v>
      </c>
      <c r="T36" s="9">
        <v>0</v>
      </c>
      <c r="U36" s="9">
        <v>0</v>
      </c>
      <c r="V36" s="9">
        <v>0</v>
      </c>
      <c r="W36" s="9" t="s">
        <v>3</v>
      </c>
    </row>
    <row r="37" spans="1:23" x14ac:dyDescent="0.3">
      <c r="A37" s="8" t="s">
        <v>37</v>
      </c>
      <c r="B37" s="8" t="s">
        <v>92</v>
      </c>
      <c r="C37" s="8">
        <v>1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0.5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 t="s">
        <v>3</v>
      </c>
    </row>
    <row r="38" spans="1:23" x14ac:dyDescent="0.3">
      <c r="A38" s="8" t="s">
        <v>37</v>
      </c>
      <c r="B38" s="8" t="s">
        <v>96</v>
      </c>
      <c r="C38" s="8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2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 t="s">
        <v>3</v>
      </c>
    </row>
    <row r="39" spans="1:23" x14ac:dyDescent="0.3">
      <c r="A39" s="8" t="s">
        <v>37</v>
      </c>
      <c r="B39" s="8" t="s">
        <v>139</v>
      </c>
      <c r="C39" s="8">
        <v>30</v>
      </c>
      <c r="D39" s="9">
        <v>27</v>
      </c>
      <c r="E39" s="9">
        <v>38</v>
      </c>
      <c r="F39" s="9">
        <v>20</v>
      </c>
      <c r="G39" s="9">
        <v>30</v>
      </c>
      <c r="H39" s="9">
        <v>8</v>
      </c>
      <c r="I39" s="9">
        <v>16</v>
      </c>
      <c r="J39" s="9">
        <v>16</v>
      </c>
      <c r="K39" s="11">
        <v>0</v>
      </c>
      <c r="L39" s="9">
        <v>9</v>
      </c>
      <c r="M39" s="9">
        <v>23</v>
      </c>
      <c r="N39" s="9">
        <v>22</v>
      </c>
      <c r="O39" s="9">
        <v>12</v>
      </c>
      <c r="P39" s="9">
        <v>9</v>
      </c>
      <c r="Q39" s="9">
        <v>12</v>
      </c>
      <c r="R39" s="9">
        <v>12</v>
      </c>
      <c r="S39" s="9">
        <v>116</v>
      </c>
      <c r="T39" s="9">
        <v>102</v>
      </c>
      <c r="U39" s="9">
        <v>51</v>
      </c>
      <c r="V39" s="9">
        <v>27</v>
      </c>
      <c r="W39" s="9" t="s">
        <v>3</v>
      </c>
    </row>
    <row r="40" spans="1:23" x14ac:dyDescent="0.3">
      <c r="A40" s="8" t="s">
        <v>37</v>
      </c>
      <c r="B40" s="8" t="s">
        <v>97</v>
      </c>
      <c r="C40" s="8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0.5</v>
      </c>
      <c r="T40" s="9">
        <v>0</v>
      </c>
      <c r="U40" s="9">
        <v>0</v>
      </c>
      <c r="V40" s="9">
        <v>0</v>
      </c>
      <c r="W40" s="9" t="s">
        <v>3</v>
      </c>
    </row>
    <row r="41" spans="1:23" x14ac:dyDescent="0.3">
      <c r="A41" s="8" t="s">
        <v>37</v>
      </c>
      <c r="B41" s="8" t="s">
        <v>98</v>
      </c>
      <c r="C41" s="8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1</v>
      </c>
      <c r="W41" s="9" t="s">
        <v>3</v>
      </c>
    </row>
    <row r="42" spans="1:23" x14ac:dyDescent="0.3">
      <c r="A42" s="8" t="s">
        <v>37</v>
      </c>
      <c r="B42" s="8" t="s">
        <v>102</v>
      </c>
      <c r="C42" s="8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 t="s">
        <v>3</v>
      </c>
    </row>
    <row r="43" spans="1:23" x14ac:dyDescent="0.3">
      <c r="A43" s="8" t="s">
        <v>37</v>
      </c>
      <c r="B43" s="8" t="s">
        <v>103</v>
      </c>
      <c r="C43" s="8">
        <v>4</v>
      </c>
      <c r="D43" s="9">
        <v>1</v>
      </c>
      <c r="E43" s="9">
        <v>2</v>
      </c>
      <c r="F43" s="9">
        <v>1</v>
      </c>
      <c r="G43" s="9">
        <v>2</v>
      </c>
      <c r="H43" s="9">
        <v>2</v>
      </c>
      <c r="I43" s="9">
        <v>2</v>
      </c>
      <c r="J43" s="9">
        <v>3</v>
      </c>
      <c r="K43" s="9">
        <v>0</v>
      </c>
      <c r="L43" s="9">
        <v>2</v>
      </c>
      <c r="M43" s="9">
        <v>4</v>
      </c>
      <c r="N43" s="9">
        <v>3</v>
      </c>
      <c r="O43" s="9">
        <v>2</v>
      </c>
      <c r="P43" s="9">
        <v>0.5</v>
      </c>
      <c r="Q43" s="9">
        <v>1</v>
      </c>
      <c r="R43" s="9">
        <v>1</v>
      </c>
      <c r="S43" s="9">
        <v>1</v>
      </c>
      <c r="T43" s="9">
        <v>0</v>
      </c>
      <c r="U43" s="9">
        <v>1</v>
      </c>
      <c r="V43" s="9">
        <v>2</v>
      </c>
      <c r="W43" s="9" t="s">
        <v>3</v>
      </c>
    </row>
    <row r="44" spans="1:23" x14ac:dyDescent="0.3">
      <c r="A44" s="8" t="s">
        <v>37</v>
      </c>
      <c r="B44" s="8" t="s">
        <v>107</v>
      </c>
      <c r="C44" s="8">
        <v>18</v>
      </c>
      <c r="D44" s="9">
        <v>6</v>
      </c>
      <c r="E44" s="9">
        <v>5</v>
      </c>
      <c r="F44" s="9">
        <v>6</v>
      </c>
      <c r="G44" s="9">
        <v>5</v>
      </c>
      <c r="H44" s="9">
        <v>6</v>
      </c>
      <c r="I44" s="9">
        <v>0</v>
      </c>
      <c r="J44" s="9">
        <v>4</v>
      </c>
      <c r="K44" s="9">
        <v>0</v>
      </c>
      <c r="L44" s="9">
        <v>2</v>
      </c>
      <c r="M44" s="9">
        <v>2</v>
      </c>
      <c r="N44" s="9">
        <v>2</v>
      </c>
      <c r="O44" s="9">
        <v>0.5</v>
      </c>
      <c r="P44" s="9">
        <v>2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 t="s">
        <v>3</v>
      </c>
    </row>
    <row r="45" spans="1:23" x14ac:dyDescent="0.3">
      <c r="A45" s="8" t="s">
        <v>37</v>
      </c>
      <c r="B45" s="8" t="s">
        <v>104</v>
      </c>
      <c r="C45" s="8">
        <v>0</v>
      </c>
      <c r="D45" s="9">
        <v>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2</v>
      </c>
      <c r="K45" s="9">
        <v>0</v>
      </c>
      <c r="L45" s="9">
        <v>1</v>
      </c>
      <c r="M45" s="9">
        <v>0</v>
      </c>
      <c r="N45" s="9">
        <v>0</v>
      </c>
      <c r="O45" s="9">
        <v>0</v>
      </c>
      <c r="P45" s="9">
        <v>3</v>
      </c>
      <c r="Q45" s="9">
        <v>0</v>
      </c>
      <c r="R45" s="9">
        <v>0</v>
      </c>
      <c r="S45" s="9">
        <v>0.5</v>
      </c>
      <c r="T45" s="9">
        <v>0</v>
      </c>
      <c r="U45" s="9">
        <v>1</v>
      </c>
      <c r="V45" s="9">
        <v>1</v>
      </c>
      <c r="W45" s="9" t="s">
        <v>3</v>
      </c>
    </row>
    <row r="46" spans="1:23" x14ac:dyDescent="0.3">
      <c r="A46" s="8" t="s">
        <v>37</v>
      </c>
      <c r="B46" s="8" t="s">
        <v>105</v>
      </c>
      <c r="C46" s="8">
        <v>47</v>
      </c>
      <c r="D46" s="9">
        <v>36</v>
      </c>
      <c r="E46" s="9">
        <v>49</v>
      </c>
      <c r="F46" s="9">
        <v>80</v>
      </c>
      <c r="G46" s="9">
        <v>68</v>
      </c>
      <c r="H46" s="9">
        <v>55</v>
      </c>
      <c r="I46" s="9">
        <v>49</v>
      </c>
      <c r="J46" s="9">
        <v>43</v>
      </c>
      <c r="K46" s="11">
        <v>0</v>
      </c>
      <c r="L46" s="9">
        <v>167</v>
      </c>
      <c r="M46" s="9">
        <v>1078</v>
      </c>
      <c r="N46" s="9">
        <v>14</v>
      </c>
      <c r="O46" s="9">
        <v>7</v>
      </c>
      <c r="P46" s="9">
        <v>52</v>
      </c>
      <c r="Q46" s="9">
        <v>50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 t="s">
        <v>3</v>
      </c>
    </row>
    <row r="47" spans="1:23" x14ac:dyDescent="0.3">
      <c r="A47" s="8" t="s">
        <v>37</v>
      </c>
      <c r="B47" s="8" t="s">
        <v>110</v>
      </c>
      <c r="C47" s="8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4</v>
      </c>
      <c r="V47" s="9">
        <v>0</v>
      </c>
      <c r="W47" s="9" t="s">
        <v>3</v>
      </c>
    </row>
    <row r="48" spans="1:23" x14ac:dyDescent="0.3">
      <c r="A48" s="8" t="s">
        <v>37</v>
      </c>
      <c r="B48" s="8" t="s">
        <v>111</v>
      </c>
      <c r="C48" s="8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1</v>
      </c>
      <c r="M48" s="9">
        <v>3</v>
      </c>
      <c r="N48" s="9">
        <v>1</v>
      </c>
      <c r="O48" s="9">
        <v>1</v>
      </c>
      <c r="P48" s="9">
        <v>0.5</v>
      </c>
      <c r="Q48" s="9">
        <v>2</v>
      </c>
      <c r="R48" s="9">
        <v>0</v>
      </c>
      <c r="S48" s="9">
        <v>1</v>
      </c>
      <c r="T48" s="9">
        <v>0</v>
      </c>
      <c r="U48" s="9">
        <v>2</v>
      </c>
      <c r="V48" s="9">
        <v>1</v>
      </c>
      <c r="W48" s="9" t="s">
        <v>3</v>
      </c>
    </row>
    <row r="49" spans="1:23" x14ac:dyDescent="0.3">
      <c r="A49" s="8" t="s">
        <v>37</v>
      </c>
      <c r="B49" s="8" t="s">
        <v>138</v>
      </c>
      <c r="C49" s="8">
        <v>16</v>
      </c>
      <c r="D49" s="9">
        <v>16</v>
      </c>
      <c r="E49" s="9">
        <v>21</v>
      </c>
      <c r="F49" s="9">
        <v>20</v>
      </c>
      <c r="G49" s="9">
        <v>22</v>
      </c>
      <c r="H49" s="9">
        <v>13</v>
      </c>
      <c r="I49" s="9">
        <v>17</v>
      </c>
      <c r="J49" s="9">
        <v>9</v>
      </c>
      <c r="K49" s="9">
        <v>0</v>
      </c>
      <c r="L49" s="9">
        <v>4</v>
      </c>
      <c r="M49" s="9">
        <v>16</v>
      </c>
      <c r="N49" s="9">
        <v>8</v>
      </c>
      <c r="O49" s="9">
        <v>3</v>
      </c>
      <c r="P49" s="9">
        <v>2</v>
      </c>
      <c r="Q49" s="9">
        <v>1</v>
      </c>
      <c r="R49" s="9">
        <v>1</v>
      </c>
      <c r="S49" s="9">
        <v>1</v>
      </c>
      <c r="T49" s="9">
        <v>1</v>
      </c>
      <c r="U49" s="9">
        <v>2</v>
      </c>
      <c r="V49" s="9">
        <v>4</v>
      </c>
      <c r="W49" s="9" t="s">
        <v>3</v>
      </c>
    </row>
    <row r="50" spans="1:23" x14ac:dyDescent="0.3">
      <c r="A50" s="8" t="s">
        <v>37</v>
      </c>
      <c r="B50" s="8" t="s">
        <v>112</v>
      </c>
      <c r="C50" s="8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 t="s">
        <v>3</v>
      </c>
    </row>
    <row r="51" spans="1:23" x14ac:dyDescent="0.3">
      <c r="A51" s="8" t="s">
        <v>37</v>
      </c>
      <c r="B51" s="8" t="s">
        <v>106</v>
      </c>
      <c r="C51" s="8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2</v>
      </c>
      <c r="V51" s="9">
        <v>0</v>
      </c>
      <c r="W51" s="9" t="s">
        <v>3</v>
      </c>
    </row>
    <row r="52" spans="1:23" x14ac:dyDescent="0.3">
      <c r="A52" s="8" t="s">
        <v>37</v>
      </c>
      <c r="B52" s="8" t="s">
        <v>117</v>
      </c>
      <c r="C52" s="8">
        <v>0</v>
      </c>
      <c r="D52" s="9">
        <v>0</v>
      </c>
      <c r="E52" s="9">
        <v>0</v>
      </c>
      <c r="F52" s="9">
        <v>1</v>
      </c>
      <c r="G52" s="9">
        <v>0</v>
      </c>
      <c r="H52" s="9">
        <v>0</v>
      </c>
      <c r="I52" s="9">
        <v>0</v>
      </c>
      <c r="J52" s="9">
        <v>4</v>
      </c>
      <c r="K52" s="9">
        <v>0</v>
      </c>
      <c r="L52" s="9">
        <v>0.5</v>
      </c>
      <c r="M52" s="9">
        <v>1</v>
      </c>
      <c r="N52" s="9">
        <v>1</v>
      </c>
      <c r="O52" s="9">
        <v>1</v>
      </c>
      <c r="P52" s="9">
        <v>0</v>
      </c>
      <c r="Q52" s="9">
        <v>0</v>
      </c>
      <c r="R52" s="9">
        <v>1</v>
      </c>
      <c r="S52" s="9">
        <v>1</v>
      </c>
      <c r="T52" s="9">
        <v>0</v>
      </c>
      <c r="U52" s="9">
        <v>3</v>
      </c>
      <c r="V52" s="9">
        <v>2</v>
      </c>
      <c r="W52" s="9" t="s">
        <v>3</v>
      </c>
    </row>
    <row r="53" spans="1:23" x14ac:dyDescent="0.3">
      <c r="A53" s="8" t="s">
        <v>37</v>
      </c>
      <c r="B53" s="8" t="s">
        <v>118</v>
      </c>
      <c r="C53" s="8">
        <v>2</v>
      </c>
      <c r="D53" s="9">
        <v>0</v>
      </c>
      <c r="E53" s="9">
        <v>6</v>
      </c>
      <c r="F53" s="9">
        <v>2</v>
      </c>
      <c r="G53" s="9">
        <v>0</v>
      </c>
      <c r="H53" s="9">
        <v>0</v>
      </c>
      <c r="I53" s="9">
        <v>0</v>
      </c>
      <c r="J53" s="9">
        <v>5</v>
      </c>
      <c r="K53" s="9">
        <v>0</v>
      </c>
      <c r="L53" s="9">
        <v>4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 t="s">
        <v>3</v>
      </c>
    </row>
    <row r="54" spans="1:23" x14ac:dyDescent="0.3">
      <c r="A54" s="8" t="s">
        <v>37</v>
      </c>
      <c r="B54" s="8" t="s">
        <v>119</v>
      </c>
      <c r="C54" s="8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10</v>
      </c>
      <c r="K54" s="9">
        <v>0</v>
      </c>
      <c r="L54" s="9">
        <v>0.5</v>
      </c>
      <c r="M54" s="9">
        <v>0</v>
      </c>
      <c r="N54" s="9">
        <v>0.5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1</v>
      </c>
      <c r="V54" s="9">
        <v>1</v>
      </c>
      <c r="W54" s="9" t="s">
        <v>3</v>
      </c>
    </row>
    <row r="55" spans="1:23" x14ac:dyDescent="0.3">
      <c r="A55" s="8" t="s">
        <v>37</v>
      </c>
      <c r="B55" s="8" t="s">
        <v>124</v>
      </c>
      <c r="C55" s="8">
        <v>4</v>
      </c>
      <c r="D55" s="9">
        <v>4</v>
      </c>
      <c r="E55" s="9">
        <v>4</v>
      </c>
      <c r="F55" s="9">
        <v>9</v>
      </c>
      <c r="G55" s="9">
        <v>15</v>
      </c>
      <c r="H55" s="9">
        <v>6</v>
      </c>
      <c r="I55" s="9">
        <v>3</v>
      </c>
      <c r="J55" s="9">
        <v>3</v>
      </c>
      <c r="K55" s="9">
        <v>0</v>
      </c>
      <c r="L55" s="9">
        <v>7</v>
      </c>
      <c r="M55" s="9">
        <v>5</v>
      </c>
      <c r="N55" s="9">
        <v>5</v>
      </c>
      <c r="O55" s="9">
        <v>8</v>
      </c>
      <c r="P55" s="9">
        <v>8</v>
      </c>
      <c r="Q55" s="9">
        <v>10</v>
      </c>
      <c r="R55" s="9">
        <v>4</v>
      </c>
      <c r="S55" s="9">
        <v>0</v>
      </c>
      <c r="T55" s="9">
        <v>0</v>
      </c>
      <c r="U55" s="9">
        <v>0</v>
      </c>
      <c r="V55" s="9">
        <v>0</v>
      </c>
      <c r="W55" s="9" t="s">
        <v>3</v>
      </c>
    </row>
    <row r="56" spans="1:23" x14ac:dyDescent="0.3">
      <c r="A56" s="8" t="s">
        <v>37</v>
      </c>
      <c r="B56" s="8" t="s">
        <v>120</v>
      </c>
      <c r="C56" s="8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 t="s">
        <v>3</v>
      </c>
    </row>
    <row r="57" spans="1:23" x14ac:dyDescent="0.3">
      <c r="A57" s="8" t="s">
        <v>37</v>
      </c>
      <c r="B57" s="8" t="s">
        <v>129</v>
      </c>
      <c r="C57" s="8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4</v>
      </c>
      <c r="W57" s="9" t="s">
        <v>3</v>
      </c>
    </row>
    <row r="58" spans="1:23" x14ac:dyDescent="0.3">
      <c r="A58" s="8" t="s">
        <v>37</v>
      </c>
      <c r="B58" s="8" t="s">
        <v>121</v>
      </c>
      <c r="C58" s="8">
        <v>63</v>
      </c>
      <c r="D58" s="9">
        <v>56</v>
      </c>
      <c r="E58" s="9">
        <v>81</v>
      </c>
      <c r="F58" s="9">
        <v>75</v>
      </c>
      <c r="G58" s="9">
        <v>71</v>
      </c>
      <c r="H58" s="9">
        <v>75</v>
      </c>
      <c r="I58" s="9">
        <v>48</v>
      </c>
      <c r="J58" s="9">
        <v>70</v>
      </c>
      <c r="K58" s="11">
        <v>0</v>
      </c>
      <c r="L58" s="9">
        <v>54</v>
      </c>
      <c r="M58" s="9">
        <v>111</v>
      </c>
      <c r="N58" s="9">
        <v>43</v>
      </c>
      <c r="O58" s="9">
        <v>39</v>
      </c>
      <c r="P58" s="9">
        <v>27</v>
      </c>
      <c r="Q58" s="9">
        <v>26</v>
      </c>
      <c r="R58" s="9">
        <v>11</v>
      </c>
      <c r="S58" s="9">
        <v>14</v>
      </c>
      <c r="T58" s="9">
        <v>12</v>
      </c>
      <c r="U58" s="9">
        <v>35</v>
      </c>
      <c r="V58" s="9">
        <v>28</v>
      </c>
      <c r="W58" s="9" t="s">
        <v>3</v>
      </c>
    </row>
    <row r="59" spans="1:23" x14ac:dyDescent="0.3">
      <c r="A59" s="8" t="s">
        <v>37</v>
      </c>
      <c r="B59" s="8" t="s">
        <v>130</v>
      </c>
      <c r="C59" s="8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3</v>
      </c>
      <c r="V59" s="9">
        <v>8</v>
      </c>
      <c r="W59" s="9" t="s">
        <v>3</v>
      </c>
    </row>
    <row r="60" spans="1:23" x14ac:dyDescent="0.3">
      <c r="A60" s="8" t="s">
        <v>37</v>
      </c>
      <c r="B60" s="8" t="s">
        <v>131</v>
      </c>
      <c r="C60" s="8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</v>
      </c>
      <c r="N60" s="9">
        <v>0.5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 t="s">
        <v>3</v>
      </c>
    </row>
    <row r="61" spans="1:23" x14ac:dyDescent="0.3">
      <c r="A61" s="8" t="s">
        <v>37</v>
      </c>
      <c r="B61" s="8" t="s">
        <v>132</v>
      </c>
      <c r="C61" s="8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3</v>
      </c>
      <c r="V61" s="9">
        <v>2</v>
      </c>
      <c r="W61" s="9" t="s">
        <v>3</v>
      </c>
    </row>
    <row r="62" spans="1:23" x14ac:dyDescent="0.3">
      <c r="A62" s="8" t="s">
        <v>37</v>
      </c>
      <c r="B62" s="8" t="s">
        <v>122</v>
      </c>
      <c r="C62" s="8">
        <v>73</v>
      </c>
      <c r="D62" s="9">
        <v>119</v>
      </c>
      <c r="E62" s="9">
        <v>123</v>
      </c>
      <c r="F62" s="9">
        <v>204</v>
      </c>
      <c r="G62" s="9">
        <v>160</v>
      </c>
      <c r="H62" s="9">
        <v>95</v>
      </c>
      <c r="I62" s="9">
        <v>55</v>
      </c>
      <c r="J62" s="9">
        <v>101</v>
      </c>
      <c r="K62" s="11">
        <v>0</v>
      </c>
      <c r="L62" s="9">
        <v>206</v>
      </c>
      <c r="M62" s="9">
        <v>134</v>
      </c>
      <c r="N62" s="9">
        <v>203</v>
      </c>
      <c r="O62" s="9">
        <v>99</v>
      </c>
      <c r="P62" s="9">
        <v>83</v>
      </c>
      <c r="Q62" s="9">
        <v>109</v>
      </c>
      <c r="R62" s="9">
        <v>91</v>
      </c>
      <c r="S62" s="9">
        <v>80</v>
      </c>
      <c r="T62" s="9">
        <v>65</v>
      </c>
      <c r="U62" s="9">
        <v>129</v>
      </c>
      <c r="V62" s="9">
        <v>70</v>
      </c>
      <c r="W62" s="9" t="s">
        <v>3</v>
      </c>
    </row>
    <row r="63" spans="1:23" x14ac:dyDescent="0.3">
      <c r="A63" s="8" t="s">
        <v>37</v>
      </c>
      <c r="B63" s="8" t="s">
        <v>126</v>
      </c>
      <c r="C63" s="8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 t="s">
        <v>3</v>
      </c>
    </row>
    <row r="64" spans="1:23" x14ac:dyDescent="0.3">
      <c r="A64" t="s">
        <v>37</v>
      </c>
      <c r="B64" t="s">
        <v>133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3</v>
      </c>
    </row>
    <row r="65" spans="1:23" x14ac:dyDescent="0.3">
      <c r="A65" t="s">
        <v>42</v>
      </c>
      <c r="B65" t="s">
        <v>94</v>
      </c>
      <c r="C65">
        <v>0</v>
      </c>
      <c r="D65">
        <v>0</v>
      </c>
      <c r="E65">
        <v>0.5</v>
      </c>
      <c r="F65">
        <v>0.5</v>
      </c>
      <c r="G65">
        <v>0.5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3</v>
      </c>
    </row>
    <row r="66" spans="1:23" x14ac:dyDescent="0.3">
      <c r="A66" t="s">
        <v>42</v>
      </c>
      <c r="B66" t="s">
        <v>92</v>
      </c>
      <c r="C66">
        <v>0</v>
      </c>
      <c r="D66">
        <v>0</v>
      </c>
      <c r="E66">
        <v>0</v>
      </c>
      <c r="F66">
        <v>0</v>
      </c>
      <c r="G66">
        <v>0</v>
      </c>
      <c r="H66">
        <v>0.5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3</v>
      </c>
    </row>
    <row r="67" spans="1:23" x14ac:dyDescent="0.3">
      <c r="A67" t="s">
        <v>42</v>
      </c>
      <c r="B67" t="s">
        <v>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6</v>
      </c>
      <c r="L67">
        <v>13</v>
      </c>
      <c r="M67">
        <v>14</v>
      </c>
      <c r="N67">
        <v>18</v>
      </c>
      <c r="O67">
        <v>19</v>
      </c>
      <c r="P67">
        <v>35</v>
      </c>
      <c r="Q67">
        <v>18</v>
      </c>
      <c r="R67">
        <v>26</v>
      </c>
      <c r="S67">
        <v>13</v>
      </c>
      <c r="T67">
        <v>5</v>
      </c>
      <c r="U67">
        <v>12</v>
      </c>
      <c r="V67">
        <v>13</v>
      </c>
      <c r="W67" t="s">
        <v>3</v>
      </c>
    </row>
    <row r="68" spans="1:23" x14ac:dyDescent="0.3">
      <c r="A68" t="s">
        <v>42</v>
      </c>
      <c r="B68" t="s">
        <v>93</v>
      </c>
      <c r="C68">
        <v>0</v>
      </c>
      <c r="D68">
        <v>0</v>
      </c>
      <c r="E68">
        <v>0</v>
      </c>
      <c r="F68">
        <v>0</v>
      </c>
      <c r="G68">
        <v>0.5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3</v>
      </c>
    </row>
    <row r="69" spans="1:23" x14ac:dyDescent="0.3">
      <c r="A69" t="s">
        <v>42</v>
      </c>
      <c r="B69" t="s">
        <v>95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0.5</v>
      </c>
      <c r="V69">
        <v>0</v>
      </c>
      <c r="W69" t="s">
        <v>3</v>
      </c>
    </row>
    <row r="70" spans="1:23" x14ac:dyDescent="0.3">
      <c r="A70" t="s">
        <v>42</v>
      </c>
      <c r="B70" t="s">
        <v>103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</v>
      </c>
      <c r="S70">
        <v>0</v>
      </c>
      <c r="T70">
        <v>0</v>
      </c>
      <c r="U70">
        <v>0</v>
      </c>
      <c r="V70">
        <v>0</v>
      </c>
      <c r="W70" t="s">
        <v>3</v>
      </c>
    </row>
    <row r="71" spans="1:23" x14ac:dyDescent="0.3">
      <c r="A71" t="s">
        <v>42</v>
      </c>
      <c r="B71" t="s">
        <v>107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3</v>
      </c>
    </row>
    <row r="72" spans="1:23" x14ac:dyDescent="0.3">
      <c r="A72" t="s">
        <v>42</v>
      </c>
      <c r="B72" t="s">
        <v>104</v>
      </c>
      <c r="C72">
        <v>0</v>
      </c>
      <c r="D72">
        <v>0</v>
      </c>
      <c r="E72">
        <v>0.5</v>
      </c>
      <c r="F72">
        <v>0.5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</v>
      </c>
      <c r="S72">
        <v>0</v>
      </c>
      <c r="T72">
        <v>0</v>
      </c>
      <c r="U72">
        <v>0.5</v>
      </c>
      <c r="V72">
        <v>0</v>
      </c>
      <c r="W72" t="s">
        <v>3</v>
      </c>
    </row>
    <row r="73" spans="1:23" x14ac:dyDescent="0.3">
      <c r="A73" t="s">
        <v>42</v>
      </c>
      <c r="B73" t="s">
        <v>105</v>
      </c>
      <c r="C73">
        <v>0</v>
      </c>
      <c r="D73">
        <v>4</v>
      </c>
      <c r="E73">
        <v>0</v>
      </c>
      <c r="F73">
        <v>20</v>
      </c>
      <c r="G73">
        <v>21</v>
      </c>
      <c r="H73">
        <v>12</v>
      </c>
      <c r="I73">
        <v>13</v>
      </c>
      <c r="J73">
        <v>6</v>
      </c>
      <c r="K73">
        <v>2</v>
      </c>
      <c r="L73">
        <v>6</v>
      </c>
      <c r="M73">
        <v>4</v>
      </c>
      <c r="N73">
        <v>4</v>
      </c>
      <c r="O73">
        <v>4</v>
      </c>
      <c r="P73">
        <v>2</v>
      </c>
      <c r="Q73">
        <v>4</v>
      </c>
      <c r="R73">
        <v>3</v>
      </c>
      <c r="S73">
        <v>3</v>
      </c>
      <c r="T73">
        <v>1</v>
      </c>
      <c r="U73">
        <v>2</v>
      </c>
      <c r="V73">
        <v>6</v>
      </c>
      <c r="W73" t="s">
        <v>3</v>
      </c>
    </row>
    <row r="74" spans="1:23" x14ac:dyDescent="0.3">
      <c r="A74" t="s">
        <v>42</v>
      </c>
      <c r="B74" t="s">
        <v>106</v>
      </c>
      <c r="C74">
        <v>0</v>
      </c>
      <c r="D74">
        <v>0</v>
      </c>
      <c r="E74">
        <v>6</v>
      </c>
      <c r="F74">
        <v>11</v>
      </c>
      <c r="G74">
        <v>15</v>
      </c>
      <c r="H74">
        <v>16</v>
      </c>
      <c r="I74">
        <v>9</v>
      </c>
      <c r="J74">
        <v>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3</v>
      </c>
    </row>
    <row r="75" spans="1:23" x14ac:dyDescent="0.3">
      <c r="A75" t="s">
        <v>42</v>
      </c>
      <c r="B75" t="s">
        <v>118</v>
      </c>
      <c r="C75">
        <v>0</v>
      </c>
      <c r="D75">
        <v>0</v>
      </c>
      <c r="E75">
        <v>0</v>
      </c>
      <c r="F75">
        <v>0.5</v>
      </c>
      <c r="G75">
        <v>0</v>
      </c>
      <c r="H75">
        <v>0.5</v>
      </c>
      <c r="I75">
        <v>0.5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</v>
      </c>
      <c r="S75">
        <v>0</v>
      </c>
      <c r="T75">
        <v>0</v>
      </c>
      <c r="U75">
        <v>0.5</v>
      </c>
      <c r="V75">
        <v>0</v>
      </c>
      <c r="W75" t="s">
        <v>3</v>
      </c>
    </row>
    <row r="76" spans="1:23" x14ac:dyDescent="0.3">
      <c r="A76" t="s">
        <v>42</v>
      </c>
      <c r="B76" t="s">
        <v>123</v>
      </c>
      <c r="C76">
        <v>0</v>
      </c>
      <c r="D76">
        <v>0</v>
      </c>
      <c r="E76">
        <v>0</v>
      </c>
      <c r="F76">
        <v>0.5</v>
      </c>
      <c r="G76">
        <v>0.5</v>
      </c>
      <c r="H76">
        <v>0</v>
      </c>
      <c r="I76">
        <v>0.5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3</v>
      </c>
    </row>
    <row r="77" spans="1:23" x14ac:dyDescent="0.3">
      <c r="A77" t="s">
        <v>42</v>
      </c>
      <c r="B77" t="s">
        <v>124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0.5</v>
      </c>
      <c r="J77">
        <v>1</v>
      </c>
      <c r="K77">
        <v>2</v>
      </c>
      <c r="L77">
        <v>0</v>
      </c>
      <c r="M77">
        <v>4</v>
      </c>
      <c r="N77">
        <v>2</v>
      </c>
      <c r="O77">
        <v>2</v>
      </c>
      <c r="P77">
        <v>5</v>
      </c>
      <c r="Q77">
        <v>1</v>
      </c>
      <c r="R77">
        <v>5</v>
      </c>
      <c r="S77">
        <v>0</v>
      </c>
      <c r="T77">
        <v>0</v>
      </c>
      <c r="U77">
        <v>0</v>
      </c>
      <c r="V77">
        <v>0</v>
      </c>
      <c r="W77" t="s">
        <v>3</v>
      </c>
    </row>
    <row r="78" spans="1:23" x14ac:dyDescent="0.3">
      <c r="A78" t="s">
        <v>42</v>
      </c>
      <c r="B78" t="s">
        <v>125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</v>
      </c>
      <c r="S78">
        <v>0</v>
      </c>
      <c r="T78">
        <v>0</v>
      </c>
      <c r="U78">
        <v>0</v>
      </c>
      <c r="V78">
        <v>0</v>
      </c>
      <c r="W78" t="s">
        <v>3</v>
      </c>
    </row>
    <row r="79" spans="1:23" x14ac:dyDescent="0.3">
      <c r="A79" t="s">
        <v>42</v>
      </c>
      <c r="B79" t="s">
        <v>134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8</v>
      </c>
      <c r="P79">
        <v>11</v>
      </c>
      <c r="Q79">
        <v>14</v>
      </c>
      <c r="R79">
        <v>4</v>
      </c>
      <c r="S79">
        <v>0</v>
      </c>
      <c r="T79">
        <v>1</v>
      </c>
      <c r="U79">
        <v>1</v>
      </c>
      <c r="V79">
        <v>0</v>
      </c>
      <c r="W79" t="s">
        <v>3</v>
      </c>
    </row>
    <row r="80" spans="1:23" x14ac:dyDescent="0.3">
      <c r="A80" t="s">
        <v>87</v>
      </c>
      <c r="B80" t="s">
        <v>100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3</v>
      </c>
    </row>
    <row r="81" spans="1:23" x14ac:dyDescent="0.3">
      <c r="A81" t="s">
        <v>87</v>
      </c>
      <c r="B81" t="s">
        <v>94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3</v>
      </c>
    </row>
    <row r="82" spans="1:23" x14ac:dyDescent="0.3">
      <c r="A82" t="s">
        <v>87</v>
      </c>
      <c r="B82" t="s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3</v>
      </c>
    </row>
    <row r="83" spans="1:23" x14ac:dyDescent="0.3">
      <c r="A83" t="s">
        <v>87</v>
      </c>
      <c r="B83" t="s">
        <v>93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3</v>
      </c>
    </row>
    <row r="84" spans="1:23" x14ac:dyDescent="0.3">
      <c r="A84" t="s">
        <v>87</v>
      </c>
      <c r="B84" t="s">
        <v>107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3</v>
      </c>
    </row>
    <row r="85" spans="1:23" x14ac:dyDescent="0.3">
      <c r="A85" t="s">
        <v>87</v>
      </c>
      <c r="B85" t="s">
        <v>104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3</v>
      </c>
    </row>
    <row r="86" spans="1:23" x14ac:dyDescent="0.3">
      <c r="A86" t="s">
        <v>87</v>
      </c>
      <c r="B86" t="s">
        <v>105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3</v>
      </c>
    </row>
    <row r="87" spans="1:23" x14ac:dyDescent="0.3">
      <c r="A87" t="s">
        <v>87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3</v>
      </c>
    </row>
    <row r="88" spans="1:23" x14ac:dyDescent="0.3">
      <c r="A88" t="s">
        <v>87</v>
      </c>
      <c r="B88" t="s">
        <v>118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3</v>
      </c>
    </row>
    <row r="89" spans="1:23" x14ac:dyDescent="0.3">
      <c r="A89" t="s">
        <v>87</v>
      </c>
      <c r="B89" t="s">
        <v>126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3</v>
      </c>
    </row>
    <row r="90" spans="1:23" x14ac:dyDescent="0.3">
      <c r="A90" t="s">
        <v>87</v>
      </c>
      <c r="B90" t="s">
        <v>128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3</v>
      </c>
    </row>
    <row r="91" spans="1:23" x14ac:dyDescent="0.3">
      <c r="A91" t="s">
        <v>46</v>
      </c>
      <c r="B91" t="s">
        <v>100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3</v>
      </c>
    </row>
    <row r="92" spans="1:23" x14ac:dyDescent="0.3">
      <c r="A92" t="s">
        <v>46</v>
      </c>
      <c r="B92" t="s">
        <v>94</v>
      </c>
      <c r="C92">
        <v>5</v>
      </c>
      <c r="D92">
        <v>10</v>
      </c>
      <c r="E92">
        <v>14</v>
      </c>
      <c r="F92">
        <v>20</v>
      </c>
      <c r="G92">
        <v>15</v>
      </c>
      <c r="H92">
        <v>17</v>
      </c>
      <c r="I92">
        <v>11</v>
      </c>
      <c r="J92">
        <v>15</v>
      </c>
      <c r="K92">
        <v>10</v>
      </c>
      <c r="L92">
        <v>15</v>
      </c>
      <c r="M92">
        <v>6</v>
      </c>
      <c r="N92">
        <v>5</v>
      </c>
      <c r="O92">
        <v>1</v>
      </c>
      <c r="P92">
        <v>0</v>
      </c>
      <c r="Q92">
        <v>1</v>
      </c>
      <c r="R92">
        <v>0</v>
      </c>
      <c r="S92">
        <v>1</v>
      </c>
      <c r="T92">
        <v>1</v>
      </c>
      <c r="U92">
        <v>0</v>
      </c>
      <c r="V92">
        <v>2</v>
      </c>
      <c r="W92" t="s">
        <v>3</v>
      </c>
    </row>
    <row r="93" spans="1:23" x14ac:dyDescent="0.3">
      <c r="A93" t="s">
        <v>46</v>
      </c>
      <c r="B93" t="s">
        <v>92</v>
      </c>
      <c r="C93">
        <v>0</v>
      </c>
      <c r="D93">
        <v>0</v>
      </c>
      <c r="E93">
        <v>0</v>
      </c>
      <c r="F93">
        <v>1</v>
      </c>
      <c r="G93">
        <v>2</v>
      </c>
      <c r="H93">
        <v>13</v>
      </c>
      <c r="I93">
        <v>7</v>
      </c>
      <c r="J93">
        <v>5</v>
      </c>
      <c r="K93">
        <v>1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3</v>
      </c>
    </row>
    <row r="94" spans="1:23" x14ac:dyDescent="0.3">
      <c r="A94" t="s">
        <v>46</v>
      </c>
      <c r="B94" t="s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3</v>
      </c>
    </row>
    <row r="95" spans="1:23" x14ac:dyDescent="0.3">
      <c r="A95" t="s">
        <v>46</v>
      </c>
      <c r="B95" t="s">
        <v>139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</v>
      </c>
      <c r="Q95">
        <v>0</v>
      </c>
      <c r="R95">
        <v>0</v>
      </c>
      <c r="S95">
        <v>1</v>
      </c>
      <c r="T95">
        <v>4</v>
      </c>
      <c r="U95">
        <v>5</v>
      </c>
      <c r="V95">
        <v>0</v>
      </c>
      <c r="W95" t="s">
        <v>3</v>
      </c>
    </row>
    <row r="96" spans="1:23" x14ac:dyDescent="0.3">
      <c r="A96" t="s">
        <v>46</v>
      </c>
      <c r="B96" t="s">
        <v>102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3</v>
      </c>
    </row>
    <row r="97" spans="1:23" x14ac:dyDescent="0.3">
      <c r="A97" t="s">
        <v>46</v>
      </c>
      <c r="B97" t="s">
        <v>103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3</v>
      </c>
    </row>
    <row r="98" spans="1:23" x14ac:dyDescent="0.3">
      <c r="A98" t="s">
        <v>46</v>
      </c>
      <c r="B98" t="s">
        <v>107</v>
      </c>
      <c r="C98">
        <v>131</v>
      </c>
      <c r="D98">
        <v>63</v>
      </c>
      <c r="E98">
        <v>42</v>
      </c>
      <c r="F98">
        <v>48</v>
      </c>
      <c r="G98">
        <v>39</v>
      </c>
      <c r="H98">
        <v>36</v>
      </c>
      <c r="I98">
        <v>29</v>
      </c>
      <c r="J98">
        <v>22</v>
      </c>
      <c r="K98">
        <v>40</v>
      </c>
      <c r="L98">
        <v>21</v>
      </c>
      <c r="M98">
        <v>34</v>
      </c>
      <c r="N98">
        <v>20</v>
      </c>
      <c r="O98">
        <v>16</v>
      </c>
      <c r="P98">
        <v>31</v>
      </c>
      <c r="Q98">
        <v>17</v>
      </c>
      <c r="R98">
        <v>16</v>
      </c>
      <c r="S98">
        <v>8</v>
      </c>
      <c r="T98">
        <v>6</v>
      </c>
      <c r="U98">
        <v>3</v>
      </c>
      <c r="V98">
        <v>6</v>
      </c>
      <c r="W98" t="s">
        <v>3</v>
      </c>
    </row>
    <row r="99" spans="1:23" x14ac:dyDescent="0.3">
      <c r="A99" t="s">
        <v>46</v>
      </c>
      <c r="B99" t="s">
        <v>104</v>
      </c>
      <c r="C99">
        <v>1</v>
      </c>
      <c r="D99">
        <v>2</v>
      </c>
      <c r="E99">
        <v>1</v>
      </c>
      <c r="F99">
        <v>1</v>
      </c>
      <c r="G99">
        <v>2</v>
      </c>
      <c r="H99">
        <v>1</v>
      </c>
      <c r="I99">
        <v>1</v>
      </c>
      <c r="J99">
        <v>2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2</v>
      </c>
      <c r="U99">
        <v>0</v>
      </c>
      <c r="V99">
        <v>3</v>
      </c>
      <c r="W99" t="s">
        <v>3</v>
      </c>
    </row>
    <row r="100" spans="1:23" x14ac:dyDescent="0.3">
      <c r="A100" t="s">
        <v>46</v>
      </c>
      <c r="B100" t="s">
        <v>108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3</v>
      </c>
    </row>
    <row r="101" spans="1:23" x14ac:dyDescent="0.3">
      <c r="A101" t="s">
        <v>46</v>
      </c>
      <c r="B101" t="s">
        <v>105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338</v>
      </c>
      <c r="M101">
        <v>0</v>
      </c>
      <c r="N101">
        <v>69</v>
      </c>
      <c r="O101">
        <v>9</v>
      </c>
      <c r="P101">
        <v>20</v>
      </c>
      <c r="Q101">
        <v>20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3</v>
      </c>
    </row>
    <row r="102" spans="1:23" x14ac:dyDescent="0.3">
      <c r="A102" t="s">
        <v>46</v>
      </c>
      <c r="B102" t="s">
        <v>113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 t="s">
        <v>3</v>
      </c>
    </row>
    <row r="103" spans="1:23" x14ac:dyDescent="0.3">
      <c r="A103" t="s">
        <v>46</v>
      </c>
      <c r="B103" t="s">
        <v>111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3</v>
      </c>
    </row>
    <row r="104" spans="1:23" x14ac:dyDescent="0.3">
      <c r="A104" t="s">
        <v>46</v>
      </c>
      <c r="B104" t="s">
        <v>138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200</v>
      </c>
      <c r="M104" s="1">
        <v>99</v>
      </c>
      <c r="N104" s="1">
        <v>79</v>
      </c>
      <c r="O104" s="1">
        <v>74</v>
      </c>
      <c r="P104" s="1">
        <v>61</v>
      </c>
      <c r="Q104" s="1">
        <v>43</v>
      </c>
      <c r="R104" s="1">
        <v>20</v>
      </c>
      <c r="S104" s="1">
        <v>36</v>
      </c>
      <c r="T104" s="1">
        <v>17</v>
      </c>
      <c r="U104" s="1">
        <v>25</v>
      </c>
      <c r="V104">
        <v>52</v>
      </c>
      <c r="W104" t="s">
        <v>3</v>
      </c>
    </row>
    <row r="105" spans="1:23" x14ac:dyDescent="0.3">
      <c r="A105" t="s">
        <v>46</v>
      </c>
      <c r="B105" t="s">
        <v>106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>
        <v>0</v>
      </c>
      <c r="W105" t="s">
        <v>3</v>
      </c>
    </row>
    <row r="106" spans="1:23" x14ac:dyDescent="0.3">
      <c r="A106" t="s">
        <v>46</v>
      </c>
      <c r="B106" t="s">
        <v>118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1">
        <v>2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>
        <v>0</v>
      </c>
      <c r="W106" t="s">
        <v>3</v>
      </c>
    </row>
    <row r="107" spans="1:23" x14ac:dyDescent="0.3">
      <c r="A107" t="s">
        <v>46</v>
      </c>
      <c r="B107" t="s">
        <v>124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14</v>
      </c>
      <c r="L107" s="1">
        <v>30</v>
      </c>
      <c r="M107" s="1">
        <v>115</v>
      </c>
      <c r="N107" s="1">
        <v>109</v>
      </c>
      <c r="O107" s="1">
        <v>103</v>
      </c>
      <c r="P107" s="1">
        <v>121</v>
      </c>
      <c r="Q107" s="1">
        <v>109</v>
      </c>
      <c r="R107" s="1">
        <v>107</v>
      </c>
      <c r="S107" s="1">
        <v>85</v>
      </c>
      <c r="T107" s="1">
        <v>126</v>
      </c>
      <c r="U107" s="1">
        <v>106</v>
      </c>
      <c r="V107">
        <v>125</v>
      </c>
      <c r="W107" t="s">
        <v>3</v>
      </c>
    </row>
    <row r="108" spans="1:23" x14ac:dyDescent="0.3">
      <c r="A108" t="s">
        <v>46</v>
      </c>
      <c r="B108" t="s">
        <v>120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3</v>
      </c>
      <c r="T108" s="1">
        <v>0</v>
      </c>
      <c r="U108" s="1">
        <v>1</v>
      </c>
      <c r="V108">
        <v>0</v>
      </c>
      <c r="W108" t="s">
        <v>3</v>
      </c>
    </row>
    <row r="109" spans="1:23" x14ac:dyDescent="0.3">
      <c r="A109" t="s">
        <v>46</v>
      </c>
      <c r="B109" t="s">
        <v>121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">
        <v>33</v>
      </c>
      <c r="M109" s="1">
        <v>1052</v>
      </c>
      <c r="N109" s="1">
        <v>50</v>
      </c>
      <c r="O109" s="1">
        <v>39</v>
      </c>
      <c r="P109" s="1">
        <v>47</v>
      </c>
      <c r="Q109" s="1">
        <v>39</v>
      </c>
      <c r="R109" s="1">
        <v>36</v>
      </c>
      <c r="S109" s="1">
        <v>28</v>
      </c>
      <c r="T109" s="1">
        <v>26</v>
      </c>
      <c r="U109" s="1">
        <v>40</v>
      </c>
      <c r="V109">
        <v>47</v>
      </c>
      <c r="W109" t="s">
        <v>3</v>
      </c>
    </row>
    <row r="110" spans="1:23" x14ac:dyDescent="0.3">
      <c r="A110" t="s">
        <v>46</v>
      </c>
      <c r="B110" t="s">
        <v>125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>
        <v>0</v>
      </c>
      <c r="W110" t="s">
        <v>3</v>
      </c>
    </row>
    <row r="111" spans="1:23" x14ac:dyDescent="0.3">
      <c r="A111" t="s">
        <v>46</v>
      </c>
      <c r="B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732</v>
      </c>
      <c r="M111" s="1">
        <v>0</v>
      </c>
      <c r="N111" s="1">
        <v>856</v>
      </c>
      <c r="O111" s="1">
        <v>665</v>
      </c>
      <c r="P111" s="1">
        <v>750</v>
      </c>
      <c r="Q111" s="1">
        <v>857</v>
      </c>
      <c r="R111" s="1">
        <v>875</v>
      </c>
      <c r="S111" s="1">
        <v>1007</v>
      </c>
      <c r="T111" s="1">
        <v>755</v>
      </c>
      <c r="U111" s="1">
        <v>905</v>
      </c>
      <c r="V111">
        <v>0</v>
      </c>
      <c r="W111" t="s">
        <v>3</v>
      </c>
    </row>
    <row r="112" spans="1:23" x14ac:dyDescent="0.3">
      <c r="A112" t="s">
        <v>46</v>
      </c>
      <c r="B112" t="s">
        <v>126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3</v>
      </c>
    </row>
    <row r="113" spans="1:23" x14ac:dyDescent="0.3">
      <c r="A113" t="s">
        <v>46</v>
      </c>
      <c r="B113" t="s">
        <v>127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8</v>
      </c>
      <c r="O113">
        <v>8</v>
      </c>
      <c r="P113">
        <v>10</v>
      </c>
      <c r="Q113">
        <v>8</v>
      </c>
      <c r="R113">
        <v>0</v>
      </c>
      <c r="S113">
        <v>0</v>
      </c>
      <c r="T113">
        <v>1</v>
      </c>
      <c r="U113">
        <v>1</v>
      </c>
      <c r="V113">
        <v>0</v>
      </c>
      <c r="W113" t="s">
        <v>3</v>
      </c>
    </row>
    <row r="114" spans="1:23" x14ac:dyDescent="0.3">
      <c r="A114" t="s">
        <v>46</v>
      </c>
      <c r="B114" t="s">
        <v>128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3</v>
      </c>
    </row>
    <row r="115" spans="1:23" x14ac:dyDescent="0.3">
      <c r="A115" t="s">
        <v>47</v>
      </c>
      <c r="B115" t="s">
        <v>94</v>
      </c>
      <c r="C115">
        <v>0</v>
      </c>
      <c r="D115">
        <v>0</v>
      </c>
      <c r="E115">
        <v>0</v>
      </c>
      <c r="F115">
        <v>0</v>
      </c>
      <c r="G115">
        <v>0.5</v>
      </c>
      <c r="H115">
        <v>0</v>
      </c>
      <c r="I115">
        <v>0</v>
      </c>
      <c r="J115">
        <v>0</v>
      </c>
      <c r="K115">
        <v>0.5</v>
      </c>
      <c r="L115">
        <v>0</v>
      </c>
      <c r="M115">
        <v>0</v>
      </c>
      <c r="N115">
        <v>0</v>
      </c>
      <c r="O115">
        <v>0.5</v>
      </c>
      <c r="P115">
        <v>0</v>
      </c>
      <c r="Q115">
        <v>0</v>
      </c>
      <c r="R115">
        <v>0.5</v>
      </c>
      <c r="S115">
        <v>0</v>
      </c>
      <c r="T115">
        <v>0</v>
      </c>
      <c r="U115">
        <v>1</v>
      </c>
      <c r="V115">
        <v>0</v>
      </c>
      <c r="W115" t="s">
        <v>3</v>
      </c>
    </row>
    <row r="116" spans="1:23" x14ac:dyDescent="0.3">
      <c r="A116" t="s">
        <v>47</v>
      </c>
      <c r="B116" t="s">
        <v>92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3</v>
      </c>
    </row>
    <row r="117" spans="1:23" x14ac:dyDescent="0.3">
      <c r="A117" t="s">
        <v>47</v>
      </c>
      <c r="B117" t="s">
        <v>93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3</v>
      </c>
    </row>
    <row r="118" spans="1:23" x14ac:dyDescent="0.3">
      <c r="A118" t="s">
        <v>47</v>
      </c>
      <c r="B118" t="s">
        <v>104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0.5</v>
      </c>
      <c r="Q118">
        <v>0</v>
      </c>
      <c r="R118">
        <v>0</v>
      </c>
      <c r="S118">
        <v>0</v>
      </c>
      <c r="T118">
        <v>0</v>
      </c>
      <c r="U118">
        <v>0.5</v>
      </c>
      <c r="V118">
        <v>0</v>
      </c>
      <c r="W118" t="s">
        <v>3</v>
      </c>
    </row>
    <row r="119" spans="1:23" x14ac:dyDescent="0.3">
      <c r="A119" t="s">
        <v>47</v>
      </c>
      <c r="B119" t="s">
        <v>105</v>
      </c>
      <c r="C119">
        <v>0</v>
      </c>
      <c r="D119">
        <v>0</v>
      </c>
      <c r="E119">
        <v>0.5</v>
      </c>
      <c r="F119">
        <v>8</v>
      </c>
      <c r="G119">
        <v>0.5</v>
      </c>
      <c r="H119">
        <v>10</v>
      </c>
      <c r="I119">
        <v>22</v>
      </c>
      <c r="J119">
        <v>22</v>
      </c>
      <c r="K119">
        <v>10</v>
      </c>
      <c r="L119">
        <v>0</v>
      </c>
      <c r="M119">
        <v>1</v>
      </c>
      <c r="N119">
        <v>9</v>
      </c>
      <c r="O119">
        <v>0.5</v>
      </c>
      <c r="P119">
        <v>0.5</v>
      </c>
      <c r="Q119">
        <v>0</v>
      </c>
      <c r="R119">
        <v>2</v>
      </c>
      <c r="S119">
        <v>0</v>
      </c>
      <c r="T119">
        <v>0.5</v>
      </c>
      <c r="U119">
        <v>0</v>
      </c>
      <c r="V119">
        <v>0</v>
      </c>
      <c r="W119" t="s">
        <v>3</v>
      </c>
    </row>
    <row r="120" spans="1:23" x14ac:dyDescent="0.3">
      <c r="A120" t="s">
        <v>47</v>
      </c>
      <c r="B120" t="s">
        <v>118</v>
      </c>
      <c r="C120">
        <v>0</v>
      </c>
      <c r="D120">
        <v>0</v>
      </c>
      <c r="E120">
        <v>0</v>
      </c>
      <c r="F120">
        <v>0.5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3</v>
      </c>
    </row>
    <row r="121" spans="1:23" x14ac:dyDescent="0.3">
      <c r="A121" t="s">
        <v>47</v>
      </c>
      <c r="B121" t="s">
        <v>126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3</v>
      </c>
    </row>
    <row r="122" spans="1:23" x14ac:dyDescent="0.3">
      <c r="A122" t="s">
        <v>47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3</v>
      </c>
    </row>
    <row r="123" spans="1:23" x14ac:dyDescent="0.3">
      <c r="A123" t="s">
        <v>67</v>
      </c>
      <c r="B123" t="s">
        <v>105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3</v>
      </c>
    </row>
    <row r="124" spans="1:23" x14ac:dyDescent="0.3">
      <c r="A124" t="s">
        <v>49</v>
      </c>
      <c r="B124" t="s">
        <v>103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3</v>
      </c>
    </row>
    <row r="125" spans="1:23" x14ac:dyDescent="0.3">
      <c r="A125" t="s">
        <v>49</v>
      </c>
      <c r="B125" t="s">
        <v>104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3</v>
      </c>
    </row>
    <row r="126" spans="1:23" x14ac:dyDescent="0.3">
      <c r="A126" t="s">
        <v>49</v>
      </c>
      <c r="B126" t="s">
        <v>105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3</v>
      </c>
    </row>
    <row r="127" spans="1:23" x14ac:dyDescent="0.3">
      <c r="A127" t="s">
        <v>50</v>
      </c>
      <c r="B127" t="s">
        <v>138</v>
      </c>
      <c r="C127">
        <v>0</v>
      </c>
      <c r="D127">
        <v>0</v>
      </c>
      <c r="E127">
        <v>0</v>
      </c>
      <c r="F127">
        <v>0.5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3</v>
      </c>
    </row>
    <row r="128" spans="1:23" x14ac:dyDescent="0.3">
      <c r="A128" t="s">
        <v>88</v>
      </c>
      <c r="B128" t="s">
        <v>100</v>
      </c>
      <c r="C128">
        <v>0</v>
      </c>
      <c r="D128">
        <v>0.5</v>
      </c>
      <c r="E128">
        <v>0.5</v>
      </c>
      <c r="F128">
        <v>0.5</v>
      </c>
      <c r="G128">
        <v>0.5</v>
      </c>
      <c r="H128">
        <v>0.5</v>
      </c>
      <c r="I128">
        <v>0.5</v>
      </c>
      <c r="J128">
        <v>0.5</v>
      </c>
      <c r="K128">
        <v>0.5</v>
      </c>
      <c r="L128">
        <v>0.5</v>
      </c>
      <c r="M128">
        <v>0</v>
      </c>
      <c r="N128">
        <v>0.5</v>
      </c>
      <c r="O128">
        <v>0</v>
      </c>
      <c r="P128">
        <v>0</v>
      </c>
      <c r="Q128">
        <v>0</v>
      </c>
      <c r="R128">
        <v>0.5</v>
      </c>
      <c r="S128">
        <v>0</v>
      </c>
      <c r="T128">
        <v>0.5</v>
      </c>
      <c r="U128">
        <v>0</v>
      </c>
      <c r="V128">
        <v>0</v>
      </c>
      <c r="W128" t="s">
        <v>3</v>
      </c>
    </row>
    <row r="129" spans="1:23" x14ac:dyDescent="0.3">
      <c r="A129" t="s">
        <v>88</v>
      </c>
      <c r="B129" t="s">
        <v>94</v>
      </c>
      <c r="C129">
        <v>6</v>
      </c>
      <c r="D129">
        <v>17</v>
      </c>
      <c r="E129">
        <v>18</v>
      </c>
      <c r="F129">
        <v>136</v>
      </c>
      <c r="G129">
        <v>361</v>
      </c>
      <c r="H129">
        <v>256</v>
      </c>
      <c r="I129">
        <v>131</v>
      </c>
      <c r="J129">
        <v>36</v>
      </c>
      <c r="K129">
        <v>3</v>
      </c>
      <c r="L129">
        <v>1</v>
      </c>
      <c r="M129">
        <v>0</v>
      </c>
      <c r="N129">
        <v>0</v>
      </c>
      <c r="O129">
        <v>10</v>
      </c>
      <c r="P129">
        <v>3</v>
      </c>
      <c r="Q129">
        <v>0</v>
      </c>
      <c r="R129">
        <v>0.5</v>
      </c>
      <c r="S129">
        <v>0</v>
      </c>
      <c r="T129">
        <v>0</v>
      </c>
      <c r="U129">
        <v>0</v>
      </c>
      <c r="V129">
        <v>0</v>
      </c>
      <c r="W129" t="s">
        <v>3</v>
      </c>
    </row>
    <row r="130" spans="1:23" x14ac:dyDescent="0.3">
      <c r="A130" t="s">
        <v>88</v>
      </c>
      <c r="B130" t="s">
        <v>91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0.5</v>
      </c>
      <c r="U130">
        <v>1</v>
      </c>
      <c r="V130">
        <v>1</v>
      </c>
      <c r="W130" t="s">
        <v>3</v>
      </c>
    </row>
    <row r="131" spans="1:23" x14ac:dyDescent="0.3">
      <c r="A131" t="s">
        <v>88</v>
      </c>
      <c r="B131" t="s">
        <v>92</v>
      </c>
      <c r="C131">
        <v>0</v>
      </c>
      <c r="D131">
        <v>0.5</v>
      </c>
      <c r="E131">
        <v>0.5</v>
      </c>
      <c r="F131">
        <v>0.5</v>
      </c>
      <c r="G131">
        <v>0</v>
      </c>
      <c r="H131">
        <v>0.5</v>
      </c>
      <c r="I131">
        <v>0.5</v>
      </c>
      <c r="J131">
        <v>0.5</v>
      </c>
      <c r="K131">
        <v>0.5</v>
      </c>
      <c r="L131">
        <v>0.5</v>
      </c>
      <c r="M131">
        <v>0</v>
      </c>
      <c r="N131">
        <v>0</v>
      </c>
      <c r="O131">
        <v>0.5</v>
      </c>
      <c r="P131">
        <v>0</v>
      </c>
      <c r="Q131">
        <v>0</v>
      </c>
      <c r="R131">
        <v>0.5</v>
      </c>
      <c r="S131">
        <v>0</v>
      </c>
      <c r="T131">
        <v>0.5</v>
      </c>
      <c r="U131">
        <v>0</v>
      </c>
      <c r="V131">
        <v>0</v>
      </c>
      <c r="W131" t="s">
        <v>3</v>
      </c>
    </row>
    <row r="132" spans="1:23" x14ac:dyDescent="0.3">
      <c r="A132" t="s">
        <v>88</v>
      </c>
      <c r="B132" t="s">
        <v>93</v>
      </c>
      <c r="C132">
        <v>11</v>
      </c>
      <c r="D132">
        <v>1</v>
      </c>
      <c r="E132">
        <v>1</v>
      </c>
      <c r="F132">
        <v>0.5</v>
      </c>
      <c r="G132">
        <v>0.5</v>
      </c>
      <c r="H132">
        <v>0.5</v>
      </c>
      <c r="I132">
        <v>1</v>
      </c>
      <c r="J132">
        <v>0.5</v>
      </c>
      <c r="K132">
        <v>0.5</v>
      </c>
      <c r="L132">
        <v>0.5</v>
      </c>
      <c r="M132">
        <v>0</v>
      </c>
      <c r="N132">
        <v>0.5</v>
      </c>
      <c r="O132">
        <v>0</v>
      </c>
      <c r="P132">
        <v>0</v>
      </c>
      <c r="Q132">
        <v>1</v>
      </c>
      <c r="R132">
        <v>0.5</v>
      </c>
      <c r="S132">
        <v>0</v>
      </c>
      <c r="T132">
        <v>0.5</v>
      </c>
      <c r="U132">
        <v>0.5</v>
      </c>
      <c r="V132">
        <v>0</v>
      </c>
      <c r="W132" t="s">
        <v>3</v>
      </c>
    </row>
    <row r="133" spans="1:23" x14ac:dyDescent="0.3">
      <c r="A133" t="s">
        <v>88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</v>
      </c>
      <c r="K133">
        <v>0.5</v>
      </c>
      <c r="L133">
        <v>0.5</v>
      </c>
      <c r="M133">
        <v>0</v>
      </c>
      <c r="N133">
        <v>14</v>
      </c>
      <c r="O133">
        <v>0.5</v>
      </c>
      <c r="P133">
        <v>2</v>
      </c>
      <c r="Q133">
        <v>32</v>
      </c>
      <c r="R133">
        <v>0.5</v>
      </c>
      <c r="S133">
        <v>1</v>
      </c>
      <c r="T133">
        <v>0.5</v>
      </c>
      <c r="U133">
        <v>0.5</v>
      </c>
      <c r="V133">
        <v>0</v>
      </c>
      <c r="W133" t="s">
        <v>3</v>
      </c>
    </row>
    <row r="134" spans="1:23" x14ac:dyDescent="0.3">
      <c r="A134" t="s">
        <v>88</v>
      </c>
      <c r="B134" t="s">
        <v>95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0.5</v>
      </c>
      <c r="V134">
        <v>0</v>
      </c>
      <c r="W134" t="s">
        <v>3</v>
      </c>
    </row>
    <row r="135" spans="1:23" x14ac:dyDescent="0.3">
      <c r="A135" t="s">
        <v>88</v>
      </c>
      <c r="B135" t="s">
        <v>97</v>
      </c>
      <c r="C135">
        <v>0</v>
      </c>
      <c r="D135">
        <v>0</v>
      </c>
      <c r="E135">
        <v>0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0.5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3</v>
      </c>
    </row>
    <row r="136" spans="1:23" x14ac:dyDescent="0.3">
      <c r="A136" t="s">
        <v>88</v>
      </c>
      <c r="B136" t="s">
        <v>103</v>
      </c>
      <c r="C136">
        <v>1</v>
      </c>
      <c r="D136">
        <v>1</v>
      </c>
      <c r="E136">
        <v>0.5</v>
      </c>
      <c r="F136">
        <v>1</v>
      </c>
      <c r="G136">
        <v>4</v>
      </c>
      <c r="H136">
        <v>2</v>
      </c>
      <c r="I136">
        <v>2</v>
      </c>
      <c r="J136">
        <v>2</v>
      </c>
      <c r="K136">
        <v>0.5</v>
      </c>
      <c r="L136">
        <v>0.5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</v>
      </c>
      <c r="S136">
        <v>0</v>
      </c>
      <c r="T136">
        <v>0.5</v>
      </c>
      <c r="U136">
        <v>0</v>
      </c>
      <c r="V136">
        <v>0</v>
      </c>
      <c r="W136" t="s">
        <v>3</v>
      </c>
    </row>
    <row r="137" spans="1:23" x14ac:dyDescent="0.3">
      <c r="A137" t="s">
        <v>88</v>
      </c>
      <c r="B137" t="s">
        <v>107</v>
      </c>
      <c r="C137">
        <v>45</v>
      </c>
      <c r="D137">
        <v>26</v>
      </c>
      <c r="E137">
        <v>25</v>
      </c>
      <c r="F137">
        <v>26</v>
      </c>
      <c r="G137">
        <v>36</v>
      </c>
      <c r="H137">
        <v>19</v>
      </c>
      <c r="I137">
        <v>13</v>
      </c>
      <c r="J137">
        <v>6</v>
      </c>
      <c r="K137">
        <v>1</v>
      </c>
      <c r="L137">
        <v>0.5</v>
      </c>
      <c r="M137">
        <v>1</v>
      </c>
      <c r="N137">
        <v>1</v>
      </c>
      <c r="O137">
        <v>0.5</v>
      </c>
      <c r="P137">
        <v>0.5</v>
      </c>
      <c r="Q137">
        <v>0</v>
      </c>
      <c r="R137">
        <v>0.5</v>
      </c>
      <c r="S137">
        <v>0</v>
      </c>
      <c r="T137">
        <v>0.5</v>
      </c>
      <c r="U137">
        <v>0</v>
      </c>
      <c r="V137">
        <v>0</v>
      </c>
      <c r="W137" t="s">
        <v>3</v>
      </c>
    </row>
    <row r="138" spans="1:23" x14ac:dyDescent="0.3">
      <c r="A138" t="s">
        <v>88</v>
      </c>
      <c r="B138" t="s">
        <v>104</v>
      </c>
      <c r="C138">
        <v>1</v>
      </c>
      <c r="D138">
        <v>4</v>
      </c>
      <c r="E138">
        <v>0.5</v>
      </c>
      <c r="F138">
        <v>1</v>
      </c>
      <c r="G138">
        <v>1</v>
      </c>
      <c r="H138">
        <v>0.5</v>
      </c>
      <c r="I138">
        <v>0.5</v>
      </c>
      <c r="J138">
        <v>0.5</v>
      </c>
      <c r="K138">
        <v>0.5</v>
      </c>
      <c r="L138">
        <v>0.5</v>
      </c>
      <c r="M138">
        <v>0</v>
      </c>
      <c r="N138">
        <v>0.5</v>
      </c>
      <c r="O138">
        <v>0.5</v>
      </c>
      <c r="P138">
        <v>0.5</v>
      </c>
      <c r="Q138">
        <v>0</v>
      </c>
      <c r="R138">
        <v>0.5</v>
      </c>
      <c r="S138">
        <v>0.5</v>
      </c>
      <c r="T138">
        <v>0.5</v>
      </c>
      <c r="U138">
        <v>0.5</v>
      </c>
      <c r="V138">
        <v>0</v>
      </c>
      <c r="W138" t="s">
        <v>3</v>
      </c>
    </row>
    <row r="139" spans="1:23" x14ac:dyDescent="0.3">
      <c r="A139" t="s">
        <v>88</v>
      </c>
      <c r="B139" t="s">
        <v>114</v>
      </c>
      <c r="C139">
        <v>0</v>
      </c>
      <c r="D139">
        <v>0</v>
      </c>
      <c r="E139">
        <v>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3</v>
      </c>
    </row>
    <row r="140" spans="1:23" x14ac:dyDescent="0.3">
      <c r="A140" t="s">
        <v>88</v>
      </c>
      <c r="B140" t="s">
        <v>111</v>
      </c>
      <c r="C140">
        <v>0.5</v>
      </c>
      <c r="D140">
        <v>0</v>
      </c>
      <c r="E140">
        <v>0.5</v>
      </c>
      <c r="F140">
        <v>0.5</v>
      </c>
      <c r="G140">
        <v>0.5</v>
      </c>
      <c r="H140">
        <v>0.5</v>
      </c>
      <c r="I140">
        <v>0</v>
      </c>
      <c r="J140">
        <v>0</v>
      </c>
      <c r="K140">
        <v>0</v>
      </c>
      <c r="L140">
        <v>0.5</v>
      </c>
      <c r="M140">
        <v>0</v>
      </c>
      <c r="N140">
        <v>0</v>
      </c>
      <c r="O140">
        <v>0.5</v>
      </c>
      <c r="P140">
        <v>0</v>
      </c>
      <c r="Q140">
        <v>0</v>
      </c>
      <c r="R140">
        <v>0.5</v>
      </c>
      <c r="S140">
        <v>0</v>
      </c>
      <c r="T140">
        <v>0</v>
      </c>
      <c r="U140">
        <v>0.5</v>
      </c>
      <c r="V140">
        <v>0</v>
      </c>
      <c r="W140" t="s">
        <v>3</v>
      </c>
    </row>
    <row r="141" spans="1:23" x14ac:dyDescent="0.3">
      <c r="A141" t="s">
        <v>88</v>
      </c>
      <c r="B141" t="s">
        <v>115</v>
      </c>
      <c r="C141">
        <v>61</v>
      </c>
      <c r="D141">
        <v>46</v>
      </c>
      <c r="E141">
        <v>65</v>
      </c>
      <c r="F141">
        <v>56</v>
      </c>
      <c r="G141">
        <v>84</v>
      </c>
      <c r="H141">
        <v>28</v>
      </c>
      <c r="I141">
        <v>27</v>
      </c>
      <c r="J141">
        <v>24</v>
      </c>
      <c r="K141">
        <v>28</v>
      </c>
      <c r="L141">
        <v>10</v>
      </c>
      <c r="M141">
        <v>17</v>
      </c>
      <c r="N141">
        <v>11</v>
      </c>
      <c r="O141">
        <v>13</v>
      </c>
      <c r="P141">
        <v>9</v>
      </c>
      <c r="Q141">
        <v>10</v>
      </c>
      <c r="R141">
        <v>2</v>
      </c>
      <c r="S141">
        <v>6</v>
      </c>
      <c r="T141">
        <v>0.5</v>
      </c>
      <c r="U141">
        <v>2</v>
      </c>
      <c r="V141">
        <v>0</v>
      </c>
      <c r="W141" t="s">
        <v>3</v>
      </c>
    </row>
    <row r="142" spans="1:23" x14ac:dyDescent="0.3">
      <c r="A142" t="s">
        <v>88</v>
      </c>
      <c r="B142" t="s">
        <v>106</v>
      </c>
      <c r="C142">
        <v>38</v>
      </c>
      <c r="D142">
        <v>23</v>
      </c>
      <c r="E142">
        <v>12</v>
      </c>
      <c r="F142">
        <v>21</v>
      </c>
      <c r="G142">
        <v>24</v>
      </c>
      <c r="H142">
        <v>12</v>
      </c>
      <c r="I142">
        <v>10</v>
      </c>
      <c r="J142">
        <v>6</v>
      </c>
      <c r="K142">
        <v>3</v>
      </c>
      <c r="L142">
        <v>7</v>
      </c>
      <c r="M142">
        <v>4</v>
      </c>
      <c r="N142">
        <v>5</v>
      </c>
      <c r="O142">
        <v>4</v>
      </c>
      <c r="P142">
        <v>5</v>
      </c>
      <c r="Q142">
        <v>7</v>
      </c>
      <c r="R142">
        <v>11</v>
      </c>
      <c r="S142">
        <v>5</v>
      </c>
      <c r="T142">
        <v>4</v>
      </c>
      <c r="U142">
        <v>15</v>
      </c>
      <c r="V142">
        <v>12</v>
      </c>
      <c r="W142" t="s">
        <v>3</v>
      </c>
    </row>
    <row r="143" spans="1:23" x14ac:dyDescent="0.3">
      <c r="A143" t="s">
        <v>88</v>
      </c>
      <c r="B143" t="s">
        <v>117</v>
      </c>
      <c r="C143">
        <v>0.5</v>
      </c>
      <c r="D143">
        <v>1</v>
      </c>
      <c r="E143">
        <v>1</v>
      </c>
      <c r="F143">
        <v>2</v>
      </c>
      <c r="G143">
        <v>2</v>
      </c>
      <c r="H143">
        <v>0.5</v>
      </c>
      <c r="I143">
        <v>0.5</v>
      </c>
      <c r="J143">
        <v>0.5</v>
      </c>
      <c r="K143">
        <v>0.5</v>
      </c>
      <c r="L143">
        <v>0.5</v>
      </c>
      <c r="M143">
        <v>0</v>
      </c>
      <c r="N143">
        <v>0</v>
      </c>
      <c r="O143">
        <v>0.5</v>
      </c>
      <c r="P143">
        <v>0.5</v>
      </c>
      <c r="Q143">
        <v>0</v>
      </c>
      <c r="R143">
        <v>0.5</v>
      </c>
      <c r="S143">
        <v>0.5</v>
      </c>
      <c r="T143">
        <v>0.5</v>
      </c>
      <c r="U143">
        <v>0</v>
      </c>
      <c r="V143">
        <v>0</v>
      </c>
      <c r="W143" t="s">
        <v>3</v>
      </c>
    </row>
    <row r="144" spans="1:23" x14ac:dyDescent="0.3">
      <c r="A144" t="s">
        <v>88</v>
      </c>
      <c r="B144" t="s">
        <v>118</v>
      </c>
      <c r="C144">
        <v>8</v>
      </c>
      <c r="D144">
        <v>13</v>
      </c>
      <c r="E144">
        <v>7</v>
      </c>
      <c r="F144">
        <v>12</v>
      </c>
      <c r="G144">
        <v>20</v>
      </c>
      <c r="H144">
        <v>8</v>
      </c>
      <c r="I144">
        <v>5</v>
      </c>
      <c r="J144">
        <v>4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0.5</v>
      </c>
      <c r="S144">
        <v>0</v>
      </c>
      <c r="T144">
        <v>0.5</v>
      </c>
      <c r="U144">
        <v>0</v>
      </c>
      <c r="V144">
        <v>0</v>
      </c>
      <c r="W144" t="s">
        <v>3</v>
      </c>
    </row>
    <row r="145" spans="1:23" x14ac:dyDescent="0.3">
      <c r="A145" t="s">
        <v>88</v>
      </c>
      <c r="B145" t="s">
        <v>123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0.5</v>
      </c>
      <c r="S145">
        <v>0.5</v>
      </c>
      <c r="T145">
        <v>0.5</v>
      </c>
      <c r="U145">
        <v>0.5</v>
      </c>
      <c r="V145">
        <v>0</v>
      </c>
      <c r="W145" t="s">
        <v>3</v>
      </c>
    </row>
    <row r="146" spans="1:23" x14ac:dyDescent="0.3">
      <c r="A146" t="s">
        <v>88</v>
      </c>
      <c r="B146" t="s">
        <v>124</v>
      </c>
      <c r="C146">
        <v>13</v>
      </c>
      <c r="D146">
        <v>11</v>
      </c>
      <c r="E146">
        <v>12</v>
      </c>
      <c r="F146">
        <v>22</v>
      </c>
      <c r="G146">
        <v>25</v>
      </c>
      <c r="H146">
        <v>12</v>
      </c>
      <c r="I146">
        <v>9</v>
      </c>
      <c r="J146">
        <v>6</v>
      </c>
      <c r="K146">
        <v>5</v>
      </c>
      <c r="L146">
        <v>5</v>
      </c>
      <c r="M146">
        <v>3</v>
      </c>
      <c r="N146">
        <v>8</v>
      </c>
      <c r="O146">
        <v>9</v>
      </c>
      <c r="P146">
        <v>5</v>
      </c>
      <c r="Q146">
        <v>3</v>
      </c>
      <c r="R146">
        <v>9</v>
      </c>
      <c r="S146">
        <v>15</v>
      </c>
      <c r="T146">
        <v>14</v>
      </c>
      <c r="U146">
        <v>9</v>
      </c>
      <c r="V146">
        <v>16</v>
      </c>
      <c r="W146" t="s">
        <v>3</v>
      </c>
    </row>
    <row r="147" spans="1:23" x14ac:dyDescent="0.3">
      <c r="A147" t="s">
        <v>88</v>
      </c>
      <c r="B147" t="s">
        <v>135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</v>
      </c>
      <c r="U147">
        <v>0</v>
      </c>
      <c r="V147">
        <v>0</v>
      </c>
      <c r="W147" t="s">
        <v>3</v>
      </c>
    </row>
    <row r="148" spans="1:23" x14ac:dyDescent="0.3">
      <c r="A148" t="s">
        <v>88</v>
      </c>
      <c r="B148" t="s">
        <v>120</v>
      </c>
      <c r="C148">
        <v>0.5</v>
      </c>
      <c r="D148">
        <v>0.5</v>
      </c>
      <c r="E148">
        <v>0.5</v>
      </c>
      <c r="F148">
        <v>0.5</v>
      </c>
      <c r="G148">
        <v>0.5</v>
      </c>
      <c r="H148">
        <v>0.5</v>
      </c>
      <c r="I148">
        <v>0.5</v>
      </c>
      <c r="J148">
        <v>0.5</v>
      </c>
      <c r="K148">
        <v>0.5</v>
      </c>
      <c r="L148">
        <v>0.5</v>
      </c>
      <c r="M148">
        <v>0</v>
      </c>
      <c r="N148">
        <v>0.5</v>
      </c>
      <c r="O148">
        <v>1</v>
      </c>
      <c r="P148">
        <v>8</v>
      </c>
      <c r="Q148">
        <v>0</v>
      </c>
      <c r="R148">
        <v>0.5</v>
      </c>
      <c r="S148">
        <v>0.5</v>
      </c>
      <c r="T148">
        <v>0.5</v>
      </c>
      <c r="U148">
        <v>0.5</v>
      </c>
      <c r="V148">
        <v>0</v>
      </c>
      <c r="W148" t="s">
        <v>3</v>
      </c>
    </row>
    <row r="149" spans="1:23" x14ac:dyDescent="0.3">
      <c r="A149" t="s">
        <v>88</v>
      </c>
      <c r="B149" t="s">
        <v>121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 t="s">
        <v>3</v>
      </c>
    </row>
    <row r="150" spans="1:23" x14ac:dyDescent="0.3">
      <c r="A150" t="s">
        <v>88</v>
      </c>
      <c r="B150" t="s">
        <v>125</v>
      </c>
      <c r="C150">
        <v>0.5</v>
      </c>
      <c r="D150">
        <v>0</v>
      </c>
      <c r="E150">
        <v>0.5</v>
      </c>
      <c r="F150">
        <v>0.5</v>
      </c>
      <c r="G150">
        <v>0</v>
      </c>
      <c r="H150">
        <v>0.5</v>
      </c>
      <c r="I150">
        <v>0</v>
      </c>
      <c r="J150">
        <v>0.5</v>
      </c>
      <c r="K150">
        <v>0.5</v>
      </c>
      <c r="L150">
        <v>0</v>
      </c>
      <c r="M150">
        <v>0</v>
      </c>
      <c r="N150">
        <v>0.5</v>
      </c>
      <c r="O150">
        <v>0</v>
      </c>
      <c r="P150">
        <v>0.5</v>
      </c>
      <c r="Q150">
        <v>0</v>
      </c>
      <c r="R150">
        <v>0.5</v>
      </c>
      <c r="S150">
        <v>0</v>
      </c>
      <c r="T150">
        <v>0.5</v>
      </c>
      <c r="U150">
        <v>0.5</v>
      </c>
      <c r="V150">
        <v>0</v>
      </c>
      <c r="W150" t="s">
        <v>3</v>
      </c>
    </row>
    <row r="151" spans="1:23" x14ac:dyDescent="0.3">
      <c r="A151" t="s">
        <v>88</v>
      </c>
      <c r="B151" t="s">
        <v>126</v>
      </c>
      <c r="C151">
        <v>0</v>
      </c>
      <c r="D151">
        <v>0</v>
      </c>
      <c r="E151">
        <v>0.5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3</v>
      </c>
    </row>
    <row r="152" spans="1:23" x14ac:dyDescent="0.3">
      <c r="A152" t="s">
        <v>88</v>
      </c>
      <c r="B152" t="s">
        <v>140</v>
      </c>
      <c r="C152">
        <v>0</v>
      </c>
      <c r="D152">
        <v>0.5</v>
      </c>
      <c r="E152">
        <v>0.5</v>
      </c>
      <c r="F152">
        <v>0.5</v>
      </c>
      <c r="G152">
        <v>0.5</v>
      </c>
      <c r="H152">
        <v>0.5</v>
      </c>
      <c r="I152">
        <v>0.5</v>
      </c>
      <c r="J152">
        <v>0.5</v>
      </c>
      <c r="K152">
        <v>0</v>
      </c>
      <c r="L152">
        <v>0.5</v>
      </c>
      <c r="M152">
        <v>0</v>
      </c>
      <c r="N152">
        <v>0</v>
      </c>
      <c r="O152">
        <v>0.5</v>
      </c>
      <c r="P152">
        <v>0.5</v>
      </c>
      <c r="Q152">
        <v>0</v>
      </c>
      <c r="R152">
        <v>0.5</v>
      </c>
      <c r="S152">
        <v>0</v>
      </c>
      <c r="T152">
        <v>0.5</v>
      </c>
      <c r="U152">
        <v>0.5</v>
      </c>
      <c r="V152">
        <v>0</v>
      </c>
      <c r="W152" t="s">
        <v>3</v>
      </c>
    </row>
    <row r="153" spans="1:23" x14ac:dyDescent="0.3">
      <c r="A153" t="s">
        <v>88</v>
      </c>
      <c r="B153" t="s">
        <v>133</v>
      </c>
      <c r="C153">
        <v>0</v>
      </c>
      <c r="D153">
        <v>0</v>
      </c>
      <c r="E153">
        <v>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3</v>
      </c>
    </row>
    <row r="154" spans="1:23" x14ac:dyDescent="0.3">
      <c r="A154" t="s">
        <v>89</v>
      </c>
      <c r="B154" t="s">
        <v>94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3</v>
      </c>
    </row>
    <row r="155" spans="1:23" x14ac:dyDescent="0.3">
      <c r="A155" t="s">
        <v>89</v>
      </c>
      <c r="B155" t="s">
        <v>92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3</v>
      </c>
    </row>
    <row r="156" spans="1:23" x14ac:dyDescent="0.3">
      <c r="A156" t="s">
        <v>89</v>
      </c>
      <c r="B156" t="s">
        <v>93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3</v>
      </c>
    </row>
    <row r="157" spans="1:23" x14ac:dyDescent="0.3">
      <c r="A157" t="s">
        <v>89</v>
      </c>
      <c r="B157" t="s">
        <v>95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3</v>
      </c>
    </row>
    <row r="158" spans="1:23" x14ac:dyDescent="0.3">
      <c r="A158" t="s">
        <v>89</v>
      </c>
      <c r="B158" t="s">
        <v>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3</v>
      </c>
    </row>
    <row r="159" spans="1:23" x14ac:dyDescent="0.3">
      <c r="A159" t="s">
        <v>89</v>
      </c>
      <c r="B159" t="s">
        <v>102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3</v>
      </c>
    </row>
    <row r="160" spans="1:23" x14ac:dyDescent="0.3">
      <c r="A160" t="s">
        <v>89</v>
      </c>
      <c r="B160" t="s">
        <v>103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3</v>
      </c>
    </row>
    <row r="161" spans="1:23" x14ac:dyDescent="0.3">
      <c r="A161" t="s">
        <v>89</v>
      </c>
      <c r="B161" t="s">
        <v>107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3</v>
      </c>
    </row>
    <row r="162" spans="1:23" x14ac:dyDescent="0.3">
      <c r="A162" t="s">
        <v>89</v>
      </c>
      <c r="B162" t="s">
        <v>104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3</v>
      </c>
    </row>
    <row r="163" spans="1:23" x14ac:dyDescent="0.3">
      <c r="A163" t="s">
        <v>89</v>
      </c>
      <c r="B163" t="s">
        <v>105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3</v>
      </c>
    </row>
    <row r="164" spans="1:23" x14ac:dyDescent="0.3">
      <c r="A164" t="s">
        <v>89</v>
      </c>
      <c r="B164" t="s">
        <v>138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3</v>
      </c>
    </row>
    <row r="165" spans="1:23" x14ac:dyDescent="0.3">
      <c r="A165" t="s">
        <v>89</v>
      </c>
      <c r="B165" t="s">
        <v>115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3</v>
      </c>
    </row>
    <row r="166" spans="1:23" x14ac:dyDescent="0.3">
      <c r="A166" t="s">
        <v>89</v>
      </c>
      <c r="B166" t="s">
        <v>106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3</v>
      </c>
    </row>
    <row r="167" spans="1:23" x14ac:dyDescent="0.3">
      <c r="A167" t="s">
        <v>89</v>
      </c>
      <c r="B167" t="s">
        <v>117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3</v>
      </c>
    </row>
    <row r="168" spans="1:23" x14ac:dyDescent="0.3">
      <c r="A168" t="s">
        <v>89</v>
      </c>
      <c r="B168" t="s">
        <v>118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3</v>
      </c>
    </row>
    <row r="169" spans="1:23" x14ac:dyDescent="0.3">
      <c r="A169" t="s">
        <v>89</v>
      </c>
      <c r="B169" t="s">
        <v>123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3</v>
      </c>
    </row>
    <row r="170" spans="1:23" x14ac:dyDescent="0.3">
      <c r="A170" t="s">
        <v>89</v>
      </c>
      <c r="B170" t="s">
        <v>124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3</v>
      </c>
    </row>
    <row r="171" spans="1:23" x14ac:dyDescent="0.3">
      <c r="A171" t="s">
        <v>89</v>
      </c>
      <c r="B171" t="s">
        <v>120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3</v>
      </c>
    </row>
    <row r="172" spans="1:23" x14ac:dyDescent="0.3">
      <c r="A172" t="s">
        <v>89</v>
      </c>
      <c r="B172" t="s">
        <v>125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3</v>
      </c>
    </row>
    <row r="173" spans="1:23" x14ac:dyDescent="0.3">
      <c r="A173" t="s">
        <v>89</v>
      </c>
      <c r="B173" t="s">
        <v>126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3</v>
      </c>
    </row>
    <row r="174" spans="1:23" x14ac:dyDescent="0.3">
      <c r="A174" t="s">
        <v>90</v>
      </c>
      <c r="B174" t="s">
        <v>94</v>
      </c>
      <c r="C174">
        <v>0.5</v>
      </c>
      <c r="D174">
        <v>0.5</v>
      </c>
      <c r="E174">
        <v>0.5</v>
      </c>
      <c r="F174">
        <v>17</v>
      </c>
      <c r="G174">
        <v>0.5</v>
      </c>
      <c r="H174">
        <v>3</v>
      </c>
      <c r="I174">
        <v>1</v>
      </c>
      <c r="J174">
        <v>0.5</v>
      </c>
      <c r="K174">
        <v>0.5</v>
      </c>
      <c r="L174">
        <v>0.5</v>
      </c>
      <c r="M174">
        <v>0</v>
      </c>
      <c r="N174">
        <v>0</v>
      </c>
      <c r="O174">
        <v>0</v>
      </c>
      <c r="P174">
        <v>7</v>
      </c>
      <c r="Q174">
        <v>0</v>
      </c>
      <c r="R174">
        <v>0.5</v>
      </c>
      <c r="S174">
        <v>0</v>
      </c>
      <c r="T174">
        <v>0</v>
      </c>
      <c r="U174">
        <v>0</v>
      </c>
      <c r="V174">
        <v>0</v>
      </c>
      <c r="W174" t="s">
        <v>3</v>
      </c>
    </row>
    <row r="175" spans="1:23" x14ac:dyDescent="0.3">
      <c r="A175" t="s">
        <v>90</v>
      </c>
      <c r="B175" t="s">
        <v>92</v>
      </c>
      <c r="C175">
        <v>0</v>
      </c>
      <c r="D175">
        <v>0.5</v>
      </c>
      <c r="E175">
        <v>0</v>
      </c>
      <c r="F175">
        <v>0</v>
      </c>
      <c r="G175">
        <v>0.5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3</v>
      </c>
    </row>
    <row r="176" spans="1:23" x14ac:dyDescent="0.3">
      <c r="A176" t="s">
        <v>90</v>
      </c>
      <c r="B176" t="s">
        <v>101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0.5</v>
      </c>
      <c r="S176">
        <v>0</v>
      </c>
      <c r="T176">
        <v>0</v>
      </c>
      <c r="U176">
        <v>0</v>
      </c>
      <c r="V176">
        <v>0</v>
      </c>
      <c r="W176" t="s">
        <v>3</v>
      </c>
    </row>
    <row r="177" spans="1:23" x14ac:dyDescent="0.3">
      <c r="A177" t="s">
        <v>90</v>
      </c>
      <c r="B177" t="s">
        <v>95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</v>
      </c>
      <c r="U177">
        <v>0</v>
      </c>
      <c r="V177">
        <v>0</v>
      </c>
      <c r="W177" t="s">
        <v>3</v>
      </c>
    </row>
    <row r="178" spans="1:23" x14ac:dyDescent="0.3">
      <c r="A178" t="s">
        <v>90</v>
      </c>
      <c r="B178" t="s">
        <v>103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0.5</v>
      </c>
      <c r="P178">
        <v>0</v>
      </c>
      <c r="Q178">
        <v>0</v>
      </c>
      <c r="R178">
        <v>0.5</v>
      </c>
      <c r="S178">
        <v>0</v>
      </c>
      <c r="T178">
        <v>0</v>
      </c>
      <c r="U178">
        <v>0</v>
      </c>
      <c r="V178">
        <v>0</v>
      </c>
      <c r="W178" t="s">
        <v>3</v>
      </c>
    </row>
    <row r="179" spans="1:23" x14ac:dyDescent="0.3">
      <c r="A179" t="s">
        <v>90</v>
      </c>
      <c r="B179" t="s">
        <v>104</v>
      </c>
      <c r="C179">
        <v>0.5</v>
      </c>
      <c r="D179">
        <v>0.5</v>
      </c>
      <c r="E179">
        <v>0.5</v>
      </c>
      <c r="F179">
        <v>0</v>
      </c>
      <c r="G179">
        <v>0.5</v>
      </c>
      <c r="H179">
        <v>0.5</v>
      </c>
      <c r="I179">
        <v>0.5</v>
      </c>
      <c r="J179">
        <v>0.5</v>
      </c>
      <c r="K179">
        <v>0.5</v>
      </c>
      <c r="L179">
        <v>0.5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3</v>
      </c>
    </row>
    <row r="180" spans="1:23" x14ac:dyDescent="0.3">
      <c r="A180" t="s">
        <v>90</v>
      </c>
      <c r="B180" t="s">
        <v>105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3</v>
      </c>
    </row>
    <row r="181" spans="1:23" x14ac:dyDescent="0.3">
      <c r="A181" t="s">
        <v>90</v>
      </c>
      <c r="B181" t="s">
        <v>138</v>
      </c>
      <c r="C181">
        <v>0</v>
      </c>
      <c r="D181">
        <v>2</v>
      </c>
      <c r="E181">
        <v>2</v>
      </c>
      <c r="F181">
        <v>0.5</v>
      </c>
      <c r="G181">
        <v>1</v>
      </c>
      <c r="H181">
        <v>0.5</v>
      </c>
      <c r="I181">
        <v>1</v>
      </c>
      <c r="J181">
        <v>0</v>
      </c>
      <c r="K181">
        <v>0</v>
      </c>
      <c r="L181">
        <v>0</v>
      </c>
      <c r="M181">
        <v>4</v>
      </c>
      <c r="N181">
        <v>1</v>
      </c>
      <c r="O181">
        <v>3</v>
      </c>
      <c r="P181">
        <v>1</v>
      </c>
      <c r="Q181">
        <v>1</v>
      </c>
      <c r="R181">
        <v>0.5</v>
      </c>
      <c r="S181">
        <v>0.5</v>
      </c>
      <c r="T181">
        <v>1</v>
      </c>
      <c r="U181">
        <v>0</v>
      </c>
      <c r="V181">
        <v>0</v>
      </c>
      <c r="W181" t="s">
        <v>3</v>
      </c>
    </row>
    <row r="182" spans="1:23" x14ac:dyDescent="0.3">
      <c r="A182" t="s">
        <v>90</v>
      </c>
      <c r="B182" t="s">
        <v>115</v>
      </c>
      <c r="C182">
        <v>0.5</v>
      </c>
      <c r="D182">
        <v>1</v>
      </c>
      <c r="E182">
        <v>0.5</v>
      </c>
      <c r="F182">
        <v>0</v>
      </c>
      <c r="G182">
        <v>1</v>
      </c>
      <c r="H182">
        <v>1</v>
      </c>
      <c r="I182">
        <v>4</v>
      </c>
      <c r="J182">
        <v>2</v>
      </c>
      <c r="K182">
        <v>0.5</v>
      </c>
      <c r="L182">
        <v>1</v>
      </c>
      <c r="M182">
        <v>0</v>
      </c>
      <c r="N182">
        <v>0</v>
      </c>
      <c r="O182">
        <v>5</v>
      </c>
      <c r="P182">
        <v>5</v>
      </c>
      <c r="Q182">
        <v>6</v>
      </c>
      <c r="R182">
        <v>1</v>
      </c>
      <c r="S182">
        <v>1</v>
      </c>
      <c r="T182">
        <v>0.5</v>
      </c>
      <c r="U182">
        <v>0.5</v>
      </c>
      <c r="V182">
        <v>0</v>
      </c>
      <c r="W182" t="s">
        <v>3</v>
      </c>
    </row>
    <row r="183" spans="1:23" x14ac:dyDescent="0.3">
      <c r="A183" t="s">
        <v>90</v>
      </c>
      <c r="B183" t="s">
        <v>106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0.5</v>
      </c>
      <c r="I183">
        <v>0.5</v>
      </c>
      <c r="J183">
        <v>3</v>
      </c>
      <c r="K183">
        <v>0.5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0.5</v>
      </c>
      <c r="T183">
        <v>0</v>
      </c>
      <c r="U183">
        <v>0</v>
      </c>
      <c r="V183">
        <v>1</v>
      </c>
      <c r="W183" t="s">
        <v>3</v>
      </c>
    </row>
    <row r="184" spans="1:23" x14ac:dyDescent="0.3">
      <c r="A184" t="s">
        <v>90</v>
      </c>
      <c r="B184" t="s">
        <v>117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0.5</v>
      </c>
      <c r="S184">
        <v>0</v>
      </c>
      <c r="T184">
        <v>0.5</v>
      </c>
      <c r="U184">
        <v>0.5</v>
      </c>
      <c r="V184">
        <v>0</v>
      </c>
      <c r="W184" t="s">
        <v>3</v>
      </c>
    </row>
    <row r="185" spans="1:23" x14ac:dyDescent="0.3">
      <c r="A185" t="s">
        <v>90</v>
      </c>
      <c r="B185" t="s">
        <v>118</v>
      </c>
      <c r="C185">
        <v>0</v>
      </c>
      <c r="D185">
        <v>0.5</v>
      </c>
      <c r="E185">
        <v>0.5</v>
      </c>
      <c r="F185">
        <v>0</v>
      </c>
      <c r="G185">
        <v>0.5</v>
      </c>
      <c r="H185">
        <v>1</v>
      </c>
      <c r="I185">
        <v>0.5</v>
      </c>
      <c r="J185">
        <v>0.5</v>
      </c>
      <c r="K185">
        <v>0.5</v>
      </c>
      <c r="L185">
        <v>0.5</v>
      </c>
      <c r="M185">
        <v>0</v>
      </c>
      <c r="N185">
        <v>0</v>
      </c>
      <c r="O185">
        <v>0.5</v>
      </c>
      <c r="P185">
        <v>0.5</v>
      </c>
      <c r="Q185">
        <v>0</v>
      </c>
      <c r="R185">
        <v>0.5</v>
      </c>
      <c r="S185">
        <v>0.5</v>
      </c>
      <c r="T185">
        <v>0</v>
      </c>
      <c r="U185">
        <v>0</v>
      </c>
      <c r="V185">
        <v>0</v>
      </c>
      <c r="W185" t="s">
        <v>3</v>
      </c>
    </row>
    <row r="186" spans="1:23" x14ac:dyDescent="0.3">
      <c r="A186" t="s">
        <v>90</v>
      </c>
      <c r="B186" t="s">
        <v>124</v>
      </c>
      <c r="C186">
        <v>0</v>
      </c>
      <c r="D186">
        <v>0</v>
      </c>
      <c r="E186">
        <v>0</v>
      </c>
      <c r="F186">
        <v>0</v>
      </c>
      <c r="G186">
        <v>0.5</v>
      </c>
      <c r="H186">
        <v>0.5</v>
      </c>
      <c r="I186">
        <v>0</v>
      </c>
      <c r="J186">
        <v>0</v>
      </c>
      <c r="K186">
        <v>0</v>
      </c>
      <c r="L186">
        <v>0.5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3</v>
      </c>
    </row>
    <row r="187" spans="1:23" x14ac:dyDescent="0.3">
      <c r="A187" t="s">
        <v>90</v>
      </c>
      <c r="B187" t="s">
        <v>121</v>
      </c>
      <c r="C187">
        <v>1</v>
      </c>
      <c r="D187">
        <v>1</v>
      </c>
      <c r="E187">
        <v>0.5</v>
      </c>
      <c r="F187">
        <v>0.5</v>
      </c>
      <c r="G187">
        <v>2</v>
      </c>
      <c r="H187">
        <v>1</v>
      </c>
      <c r="I187">
        <v>0.5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2</v>
      </c>
      <c r="S187">
        <v>3</v>
      </c>
      <c r="T187">
        <v>2</v>
      </c>
      <c r="U187">
        <v>0</v>
      </c>
      <c r="V187">
        <v>2</v>
      </c>
      <c r="W187" t="s">
        <v>3</v>
      </c>
    </row>
    <row r="188" spans="1:23" x14ac:dyDescent="0.3">
      <c r="A188" t="s">
        <v>90</v>
      </c>
      <c r="B188" t="s">
        <v>126</v>
      </c>
      <c r="C188">
        <v>0</v>
      </c>
      <c r="D188">
        <v>0</v>
      </c>
      <c r="E188">
        <v>0.5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3</v>
      </c>
    </row>
    <row r="189" spans="1:23" x14ac:dyDescent="0.3">
      <c r="A189" t="s">
        <v>90</v>
      </c>
      <c r="B189" t="s">
        <v>128</v>
      </c>
      <c r="C189">
        <v>0.5</v>
      </c>
      <c r="D189">
        <v>0.5</v>
      </c>
      <c r="E189">
        <v>0.5</v>
      </c>
      <c r="F189">
        <v>0.5</v>
      </c>
      <c r="G189">
        <v>1</v>
      </c>
      <c r="H189">
        <v>1</v>
      </c>
      <c r="I189">
        <v>1</v>
      </c>
      <c r="J189">
        <v>0.5</v>
      </c>
      <c r="K189">
        <v>0.5</v>
      </c>
      <c r="L189">
        <v>0.5</v>
      </c>
      <c r="M189">
        <v>1</v>
      </c>
      <c r="N189">
        <v>0</v>
      </c>
      <c r="O189">
        <v>5</v>
      </c>
      <c r="P189">
        <v>1</v>
      </c>
      <c r="Q189">
        <v>1</v>
      </c>
      <c r="R189">
        <v>1</v>
      </c>
      <c r="S189">
        <v>3</v>
      </c>
      <c r="T189">
        <v>0</v>
      </c>
      <c r="U189">
        <v>0</v>
      </c>
      <c r="V189">
        <v>0</v>
      </c>
      <c r="W189" t="s">
        <v>3</v>
      </c>
    </row>
    <row r="190" spans="1:23" x14ac:dyDescent="0.3">
      <c r="A190" t="s">
        <v>116</v>
      </c>
      <c r="B190" t="s">
        <v>105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3</v>
      </c>
    </row>
    <row r="192" spans="1:23" x14ac:dyDescent="0.3">
      <c r="C192" s="6">
        <f t="shared" ref="C192:V192" si="0">SUM(C2:C191)</f>
        <v>874</v>
      </c>
      <c r="D192" s="13">
        <f t="shared" si="0"/>
        <v>789.5</v>
      </c>
      <c r="E192" s="13">
        <f t="shared" si="0"/>
        <v>1076</v>
      </c>
      <c r="F192" s="13">
        <f t="shared" si="0"/>
        <v>1366.5</v>
      </c>
      <c r="G192" s="13">
        <f t="shared" si="0"/>
        <v>1431.5</v>
      </c>
      <c r="H192" s="13">
        <f t="shared" si="0"/>
        <v>1477.5</v>
      </c>
      <c r="I192" s="13">
        <f t="shared" si="0"/>
        <v>1074.5</v>
      </c>
      <c r="J192" s="13">
        <f t="shared" si="0"/>
        <v>790.5</v>
      </c>
      <c r="K192" s="12">
        <f t="shared" si="0"/>
        <v>362</v>
      </c>
      <c r="L192" s="10">
        <f t="shared" si="0"/>
        <v>2208.5</v>
      </c>
      <c r="M192" s="10">
        <f t="shared" si="0"/>
        <v>3030.5</v>
      </c>
      <c r="N192" s="10">
        <f t="shared" si="0"/>
        <v>1846</v>
      </c>
      <c r="O192" s="10">
        <f t="shared" si="0"/>
        <v>1329.5</v>
      </c>
      <c r="P192" s="10">
        <f t="shared" si="0"/>
        <v>1482.5</v>
      </c>
      <c r="Q192" s="10">
        <f t="shared" si="0"/>
        <v>1529</v>
      </c>
      <c r="R192" s="10">
        <f t="shared" si="0"/>
        <v>1399.5</v>
      </c>
      <c r="S192" s="10">
        <f t="shared" si="0"/>
        <v>1538.5</v>
      </c>
      <c r="T192" s="10">
        <f t="shared" si="0"/>
        <v>1283.5</v>
      </c>
      <c r="U192" s="10">
        <f t="shared" si="0"/>
        <v>1514</v>
      </c>
      <c r="V192" s="10">
        <f t="shared" si="0"/>
        <v>562</v>
      </c>
    </row>
    <row r="196" spans="2:22" x14ac:dyDescent="0.3">
      <c r="C196" t="s">
        <v>141</v>
      </c>
    </row>
    <row r="197" spans="2:22" x14ac:dyDescent="0.3"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s="1">
        <v>200</v>
      </c>
      <c r="M197" s="1">
        <v>99</v>
      </c>
      <c r="N197" s="1">
        <v>79</v>
      </c>
      <c r="O197" s="1">
        <v>74</v>
      </c>
      <c r="P197" s="1">
        <v>61</v>
      </c>
      <c r="Q197" s="1">
        <v>43</v>
      </c>
      <c r="R197" s="1">
        <v>20</v>
      </c>
      <c r="S197" s="1">
        <v>36</v>
      </c>
      <c r="T197" s="1">
        <v>17</v>
      </c>
      <c r="U197" s="1">
        <v>25</v>
      </c>
      <c r="V197">
        <v>52</v>
      </c>
    </row>
    <row r="198" spans="2:22" x14ac:dyDescent="0.3"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>
        <v>0</v>
      </c>
    </row>
    <row r="199" spans="2:22" x14ac:dyDescent="0.3"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s="1">
        <v>2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>
        <v>0</v>
      </c>
    </row>
    <row r="200" spans="2:22" x14ac:dyDescent="0.3"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14</v>
      </c>
      <c r="L200" s="1">
        <v>30</v>
      </c>
      <c r="M200" s="1">
        <v>115</v>
      </c>
      <c r="N200" s="1">
        <v>109</v>
      </c>
      <c r="O200" s="1">
        <v>103</v>
      </c>
      <c r="P200" s="1">
        <v>121</v>
      </c>
      <c r="Q200" s="1">
        <v>109</v>
      </c>
      <c r="R200" s="1">
        <v>107</v>
      </c>
      <c r="S200" s="1">
        <v>85</v>
      </c>
      <c r="T200" s="1">
        <v>126</v>
      </c>
      <c r="U200" s="1">
        <v>106</v>
      </c>
      <c r="V200">
        <v>125</v>
      </c>
    </row>
    <row r="201" spans="2:22" x14ac:dyDescent="0.3"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3</v>
      </c>
      <c r="T201" s="1">
        <v>0</v>
      </c>
      <c r="U201" s="1">
        <v>1</v>
      </c>
      <c r="V201">
        <v>0</v>
      </c>
    </row>
    <row r="202" spans="2:22" x14ac:dyDescent="0.3"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s="1">
        <v>33</v>
      </c>
      <c r="M202" s="1">
        <v>1052</v>
      </c>
      <c r="N202" s="1">
        <v>50</v>
      </c>
      <c r="O202" s="1">
        <v>39</v>
      </c>
      <c r="P202" s="1">
        <v>47</v>
      </c>
      <c r="Q202" s="1">
        <v>39</v>
      </c>
      <c r="R202" s="1">
        <v>36</v>
      </c>
      <c r="S202" s="1">
        <v>28</v>
      </c>
      <c r="T202" s="1">
        <v>26</v>
      </c>
      <c r="U202" s="1">
        <v>40</v>
      </c>
      <c r="V202">
        <v>47</v>
      </c>
    </row>
    <row r="203" spans="2:22" x14ac:dyDescent="0.3"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>
        <v>0</v>
      </c>
    </row>
    <row r="204" spans="2:22" x14ac:dyDescent="0.3"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732</v>
      </c>
      <c r="M204" s="1">
        <v>0</v>
      </c>
      <c r="N204" s="1">
        <v>856</v>
      </c>
      <c r="O204" s="1">
        <v>665</v>
      </c>
      <c r="P204" s="1">
        <v>750</v>
      </c>
      <c r="Q204" s="1">
        <v>857</v>
      </c>
      <c r="R204" s="1">
        <v>875</v>
      </c>
      <c r="S204" s="1">
        <v>1007</v>
      </c>
      <c r="T204" s="1">
        <v>755</v>
      </c>
      <c r="U204" s="1">
        <v>905</v>
      </c>
      <c r="V204">
        <v>0</v>
      </c>
    </row>
    <row r="205" spans="2:22" x14ac:dyDescent="0.3">
      <c r="C205">
        <f t="shared" ref="C205:V205" si="1">SUM(C197:C204)</f>
        <v>0</v>
      </c>
      <c r="D205">
        <f t="shared" si="1"/>
        <v>0</v>
      </c>
      <c r="E205">
        <f t="shared" si="1"/>
        <v>0</v>
      </c>
      <c r="F205">
        <f t="shared" si="1"/>
        <v>0</v>
      </c>
      <c r="G205">
        <f t="shared" si="1"/>
        <v>1</v>
      </c>
      <c r="H205">
        <f t="shared" si="1"/>
        <v>0</v>
      </c>
      <c r="I205">
        <f t="shared" si="1"/>
        <v>0</v>
      </c>
      <c r="J205">
        <f t="shared" si="1"/>
        <v>0</v>
      </c>
      <c r="K205">
        <f t="shared" si="1"/>
        <v>14</v>
      </c>
      <c r="L205" s="14">
        <f t="shared" si="1"/>
        <v>997</v>
      </c>
      <c r="M205" s="14">
        <f t="shared" si="1"/>
        <v>1267</v>
      </c>
      <c r="N205" s="14">
        <f t="shared" si="1"/>
        <v>1094</v>
      </c>
      <c r="O205" s="14">
        <f t="shared" si="1"/>
        <v>881</v>
      </c>
      <c r="P205" s="14">
        <f t="shared" si="1"/>
        <v>979</v>
      </c>
      <c r="Q205" s="14">
        <f t="shared" si="1"/>
        <v>1048</v>
      </c>
      <c r="R205" s="14">
        <f t="shared" si="1"/>
        <v>1038</v>
      </c>
      <c r="S205" s="14">
        <f t="shared" si="1"/>
        <v>1159</v>
      </c>
      <c r="T205" s="14">
        <f t="shared" si="1"/>
        <v>924</v>
      </c>
      <c r="U205" s="14">
        <f t="shared" si="1"/>
        <v>1077</v>
      </c>
      <c r="V205" s="14">
        <f t="shared" si="1"/>
        <v>224</v>
      </c>
    </row>
    <row r="207" spans="2:22" x14ac:dyDescent="0.3">
      <c r="L207">
        <f>L205/L192</f>
        <v>0.45143762734887932</v>
      </c>
      <c r="M207">
        <f t="shared" ref="M207:V207" si="2">M205/M192</f>
        <v>0.41808282461639995</v>
      </c>
      <c r="N207">
        <f t="shared" si="2"/>
        <v>0.59263271939328277</v>
      </c>
      <c r="O207">
        <f t="shared" si="2"/>
        <v>0.66265513350883787</v>
      </c>
      <c r="P207">
        <f t="shared" si="2"/>
        <v>0.66037099494097806</v>
      </c>
      <c r="Q207">
        <f t="shared" si="2"/>
        <v>0.68541530412034013</v>
      </c>
      <c r="R207">
        <f t="shared" si="2"/>
        <v>0.74169346195069663</v>
      </c>
      <c r="S207">
        <f t="shared" si="2"/>
        <v>0.753331166720832</v>
      </c>
      <c r="T207">
        <f t="shared" si="2"/>
        <v>0.71990650564861702</v>
      </c>
      <c r="U207">
        <f t="shared" si="2"/>
        <v>0.7113606340819022</v>
      </c>
      <c r="V207">
        <f t="shared" si="2"/>
        <v>0.39857651245551601</v>
      </c>
    </row>
    <row r="208" spans="2:22" x14ac:dyDescent="0.3">
      <c r="B208" s="14">
        <f xml:space="preserve"> AVERAGE(L207:U207)</f>
        <v>0.63968863723307667</v>
      </c>
    </row>
    <row r="209" spans="2:33" x14ac:dyDescent="0.3">
      <c r="C209" s="14">
        <f t="shared" ref="C209:J209" si="3">C192/(1-$B$208)</f>
        <v>2425.6798156137233</v>
      </c>
      <c r="D209" s="14">
        <f t="shared" si="3"/>
        <v>2191.1604284062182</v>
      </c>
      <c r="E209" s="14">
        <f t="shared" si="3"/>
        <v>2986.3060430210144</v>
      </c>
      <c r="F209" s="14">
        <f t="shared" si="3"/>
        <v>3792.5531670894202</v>
      </c>
      <c r="G209" s="14">
        <f t="shared" si="3"/>
        <v>3972.9526957105782</v>
      </c>
      <c r="H209" s="14">
        <f t="shared" si="3"/>
        <v>4100.6200544270896</v>
      </c>
      <c r="I209" s="14">
        <f t="shared" si="3"/>
        <v>2982.1429769759106</v>
      </c>
      <c r="J209" s="14">
        <f t="shared" si="3"/>
        <v>2193.9358057696204</v>
      </c>
      <c r="K209" s="14">
        <f>K192/(1-$B$208)</f>
        <v>1004.6866055516795</v>
      </c>
      <c r="L209" s="10">
        <v>2208.5</v>
      </c>
      <c r="M209" s="10">
        <v>3030.5</v>
      </c>
      <c r="N209" s="10">
        <v>1846</v>
      </c>
      <c r="O209" s="10">
        <v>1329.5</v>
      </c>
      <c r="P209" s="10">
        <v>1482.5</v>
      </c>
      <c r="Q209" s="10">
        <v>1529</v>
      </c>
      <c r="R209" s="10">
        <v>1399.5</v>
      </c>
      <c r="S209" s="10">
        <v>1538.5</v>
      </c>
      <c r="T209" s="10">
        <v>1283.5</v>
      </c>
      <c r="U209" s="10">
        <v>1514</v>
      </c>
      <c r="V209" s="10">
        <v>562</v>
      </c>
    </row>
    <row r="212" spans="2:33" x14ac:dyDescent="0.3">
      <c r="C212">
        <v>2425.6798156137233</v>
      </c>
      <c r="D212">
        <v>2191.1604284062182</v>
      </c>
      <c r="E212">
        <v>2986.3060430210144</v>
      </c>
      <c r="F212">
        <v>3792.5531670894202</v>
      </c>
      <c r="G212">
        <v>3972.9526957105782</v>
      </c>
      <c r="H212">
        <v>4100.6200544270896</v>
      </c>
      <c r="I212">
        <v>2982.1429769759106</v>
      </c>
      <c r="J212">
        <v>2193.9358057696204</v>
      </c>
      <c r="L212">
        <v>2208.5</v>
      </c>
      <c r="M212">
        <v>3030.5</v>
      </c>
      <c r="N212">
        <v>1846</v>
      </c>
      <c r="O212">
        <v>1329.5</v>
      </c>
      <c r="P212">
        <v>1482.5</v>
      </c>
      <c r="Q212">
        <v>1529</v>
      </c>
      <c r="R212">
        <v>1581.13</v>
      </c>
      <c r="S212">
        <v>2221.14</v>
      </c>
      <c r="T212">
        <v>2042.62</v>
      </c>
      <c r="U212">
        <v>1840.09</v>
      </c>
      <c r="V212">
        <v>829.23</v>
      </c>
      <c r="W212">
        <v>1622.71</v>
      </c>
      <c r="X212">
        <v>1379.61</v>
      </c>
      <c r="Y212">
        <v>1641.24</v>
      </c>
      <c r="Z212">
        <v>2290.39</v>
      </c>
      <c r="AA212">
        <v>2799.1</v>
      </c>
      <c r="AB212">
        <v>3557.72</v>
      </c>
      <c r="AC212">
        <v>2634.22</v>
      </c>
      <c r="AD212">
        <v>2119.4</v>
      </c>
      <c r="AE212">
        <v>2861.0023000000001</v>
      </c>
      <c r="AF212">
        <v>3167.9187999999999</v>
      </c>
      <c r="AG212">
        <v>2151.5857999999998</v>
      </c>
    </row>
    <row r="215" spans="2:33" x14ac:dyDescent="0.3">
      <c r="C215" t="s">
        <v>143</v>
      </c>
      <c r="D215" t="s">
        <v>144</v>
      </c>
    </row>
    <row r="216" spans="2:33" x14ac:dyDescent="0.3">
      <c r="B216">
        <v>1991</v>
      </c>
      <c r="C216">
        <v>2425.6798156137202</v>
      </c>
      <c r="D216">
        <f>C216/63633.85614</f>
        <v>3.8119327709403843E-2</v>
      </c>
    </row>
    <row r="217" spans="2:33" x14ac:dyDescent="0.3">
      <c r="B217">
        <v>1992</v>
      </c>
      <c r="C217">
        <v>2191.1604284062182</v>
      </c>
      <c r="D217">
        <f t="shared" ref="D217:D246" si="4">C217/63633.85614</f>
        <v>3.4433877833609128E-2</v>
      </c>
    </row>
    <row r="218" spans="2:33" x14ac:dyDescent="0.3">
      <c r="B218">
        <v>1993</v>
      </c>
      <c r="C218">
        <v>2986.3060430210144</v>
      </c>
      <c r="D218">
        <f t="shared" si="4"/>
        <v>4.6929515578167727E-2</v>
      </c>
    </row>
    <row r="219" spans="2:33" x14ac:dyDescent="0.3">
      <c r="B219">
        <v>1994</v>
      </c>
      <c r="C219">
        <v>3792.5531670894202</v>
      </c>
      <c r="D219">
        <f t="shared" si="4"/>
        <v>5.9599612488444427E-2</v>
      </c>
    </row>
    <row r="220" spans="2:33" x14ac:dyDescent="0.3">
      <c r="B220">
        <v>1995</v>
      </c>
      <c r="C220">
        <v>3972.9526957105782</v>
      </c>
      <c r="D220">
        <f t="shared" si="4"/>
        <v>6.243457393136348E-2</v>
      </c>
    </row>
    <row r="221" spans="2:33" x14ac:dyDescent="0.3">
      <c r="B221">
        <v>1996</v>
      </c>
      <c r="C221">
        <v>4100.6200544270896</v>
      </c>
      <c r="D221">
        <f t="shared" si="4"/>
        <v>6.4440854337121573E-2</v>
      </c>
    </row>
    <row r="222" spans="2:33" x14ac:dyDescent="0.3">
      <c r="B222">
        <v>1997</v>
      </c>
      <c r="C222">
        <v>2982.1429769759106</v>
      </c>
      <c r="D222">
        <f t="shared" si="4"/>
        <v>4.6864093391023445E-2</v>
      </c>
    </row>
    <row r="223" spans="2:33" x14ac:dyDescent="0.3">
      <c r="B223">
        <v>1998</v>
      </c>
      <c r="C223">
        <v>2193.9358057696204</v>
      </c>
      <c r="D223">
        <f t="shared" si="4"/>
        <v>3.4477492625038651E-2</v>
      </c>
    </row>
    <row r="224" spans="2:33" x14ac:dyDescent="0.3">
      <c r="B224">
        <v>1999</v>
      </c>
      <c r="C224">
        <v>1004.6866055516795</v>
      </c>
      <c r="D224">
        <f t="shared" si="4"/>
        <v>1.5788554497487655E-2</v>
      </c>
    </row>
    <row r="225" spans="2:4" x14ac:dyDescent="0.3">
      <c r="B225">
        <v>2000</v>
      </c>
      <c r="C225">
        <v>2208.5</v>
      </c>
      <c r="D225">
        <f t="shared" si="4"/>
        <v>3.4706367552849671E-2</v>
      </c>
    </row>
    <row r="226" spans="2:4" x14ac:dyDescent="0.3">
      <c r="B226">
        <v>2001</v>
      </c>
      <c r="C226">
        <v>3030.5</v>
      </c>
      <c r="D226">
        <f t="shared" si="4"/>
        <v>4.7624019410872055E-2</v>
      </c>
    </row>
    <row r="227" spans="2:4" x14ac:dyDescent="0.3">
      <c r="B227">
        <v>2002</v>
      </c>
      <c r="C227">
        <v>1846</v>
      </c>
      <c r="D227">
        <f t="shared" si="4"/>
        <v>2.9009714513271674E-2</v>
      </c>
    </row>
    <row r="228" spans="2:4" x14ac:dyDescent="0.3">
      <c r="B228">
        <v>2003</v>
      </c>
      <c r="C228">
        <v>1329.5</v>
      </c>
      <c r="D228">
        <f t="shared" si="4"/>
        <v>2.0892966113431579E-2</v>
      </c>
    </row>
    <row r="229" spans="2:4" x14ac:dyDescent="0.3">
      <c r="B229">
        <v>2004</v>
      </c>
      <c r="C229">
        <v>1482.5</v>
      </c>
      <c r="D229">
        <f t="shared" si="4"/>
        <v>2.3297346568756913E-2</v>
      </c>
    </row>
    <row r="230" spans="2:4" x14ac:dyDescent="0.3">
      <c r="B230">
        <v>2005</v>
      </c>
      <c r="C230">
        <v>1529</v>
      </c>
      <c r="D230">
        <f t="shared" si="4"/>
        <v>2.4028089648316573E-2</v>
      </c>
    </row>
    <row r="231" spans="2:4" x14ac:dyDescent="0.3">
      <c r="B231">
        <v>2006</v>
      </c>
      <c r="C231">
        <v>1581.13</v>
      </c>
      <c r="D231">
        <f t="shared" si="4"/>
        <v>2.4847307642670232E-2</v>
      </c>
    </row>
    <row r="232" spans="2:4" x14ac:dyDescent="0.3">
      <c r="B232">
        <v>2007</v>
      </c>
      <c r="C232">
        <v>2221.14</v>
      </c>
      <c r="D232">
        <f>C232/63633.85614</f>
        <v>3.4905003951250402E-2</v>
      </c>
    </row>
    <row r="233" spans="2:4" x14ac:dyDescent="0.3">
      <c r="B233">
        <v>2008</v>
      </c>
      <c r="C233">
        <v>2042.62</v>
      </c>
      <c r="D233">
        <f t="shared" si="4"/>
        <v>3.2099579121938782E-2</v>
      </c>
    </row>
    <row r="234" spans="2:4" x14ac:dyDescent="0.3">
      <c r="B234">
        <v>2009</v>
      </c>
      <c r="C234">
        <v>1840.09</v>
      </c>
      <c r="D234">
        <f t="shared" si="4"/>
        <v>2.8916839425095382E-2</v>
      </c>
    </row>
    <row r="235" spans="2:4" x14ac:dyDescent="0.3">
      <c r="B235">
        <v>2010</v>
      </c>
      <c r="C235">
        <v>829.23</v>
      </c>
      <c r="D235">
        <f t="shared" si="4"/>
        <v>1.3031270620715206E-2</v>
      </c>
    </row>
    <row r="236" spans="2:4" x14ac:dyDescent="0.3">
      <c r="B236">
        <v>2011</v>
      </c>
      <c r="C236">
        <v>1622.71</v>
      </c>
      <c r="D236">
        <f t="shared" si="4"/>
        <v>2.5500733389940997E-2</v>
      </c>
    </row>
    <row r="237" spans="2:4" x14ac:dyDescent="0.3">
      <c r="B237">
        <v>2012</v>
      </c>
      <c r="C237">
        <v>1379.61</v>
      </c>
      <c r="D237">
        <f t="shared" si="4"/>
        <v>2.1680439999812964E-2</v>
      </c>
    </row>
    <row r="238" spans="2:4" x14ac:dyDescent="0.3">
      <c r="B238">
        <v>2013</v>
      </c>
      <c r="C238">
        <v>1641.24</v>
      </c>
      <c r="D238">
        <f t="shared" si="4"/>
        <v>2.5791930578419286E-2</v>
      </c>
    </row>
    <row r="239" spans="2:4" x14ac:dyDescent="0.3">
      <c r="B239">
        <v>2014</v>
      </c>
      <c r="C239">
        <v>2290.39</v>
      </c>
      <c r="D239">
        <f t="shared" si="4"/>
        <v>3.5993261118121511E-2</v>
      </c>
    </row>
    <row r="240" spans="2:4" x14ac:dyDescent="0.3">
      <c r="B240">
        <v>2015</v>
      </c>
      <c r="C240">
        <v>2799.1</v>
      </c>
      <c r="D240">
        <f t="shared" si="4"/>
        <v>4.3987590408504196E-2</v>
      </c>
    </row>
    <row r="241" spans="2:4" x14ac:dyDescent="0.3">
      <c r="B241">
        <v>2016</v>
      </c>
      <c r="C241">
        <v>3557.72</v>
      </c>
      <c r="D241">
        <f t="shared" si="4"/>
        <v>5.5909231591634287E-2</v>
      </c>
    </row>
    <row r="242" spans="2:4" x14ac:dyDescent="0.3">
      <c r="B242">
        <v>2017</v>
      </c>
      <c r="C242">
        <v>2634.22</v>
      </c>
      <c r="D242">
        <f>C242/63633.85614</f>
        <v>4.1396516882530071E-2</v>
      </c>
    </row>
    <row r="243" spans="2:4" x14ac:dyDescent="0.3">
      <c r="B243">
        <v>2018</v>
      </c>
      <c r="C243">
        <v>2119.4</v>
      </c>
      <c r="D243">
        <f t="shared" si="4"/>
        <v>3.3306169522983743E-2</v>
      </c>
    </row>
    <row r="244" spans="2:4" x14ac:dyDescent="0.3">
      <c r="B244">
        <v>2019</v>
      </c>
      <c r="C244">
        <v>2861.0023000000001</v>
      </c>
      <c r="D244">
        <f t="shared" si="4"/>
        <v>4.4960379168371423E-2</v>
      </c>
    </row>
    <row r="245" spans="2:4" x14ac:dyDescent="0.3">
      <c r="B245">
        <v>2020</v>
      </c>
      <c r="C245">
        <v>3167.9187999999999</v>
      </c>
      <c r="D245">
        <f t="shared" si="4"/>
        <v>4.9783542789396631E-2</v>
      </c>
    </row>
    <row r="246" spans="2:4" x14ac:dyDescent="0.3">
      <c r="B246">
        <v>2021</v>
      </c>
      <c r="C246">
        <v>2151.5857999999998</v>
      </c>
      <c r="D246">
        <f t="shared" si="4"/>
        <v>3.381196631029753E-2</v>
      </c>
    </row>
    <row r="252" spans="2:4" x14ac:dyDescent="0.3">
      <c r="C252" t="s">
        <v>142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2B4C-A23A-46B5-82BD-AE1EA755C04D}">
  <dimension ref="A1:BV72"/>
  <sheetViews>
    <sheetView tabSelected="1" topLeftCell="AG25" zoomScale="60" zoomScaleNormal="60" workbookViewId="0">
      <selection activeCell="AT53" sqref="AT53"/>
    </sheetView>
  </sheetViews>
  <sheetFormatPr defaultRowHeight="14.4" x14ac:dyDescent="0.3"/>
  <cols>
    <col min="2" max="2" width="29" bestFit="1" customWidth="1"/>
    <col min="57" max="57" width="30.44140625" bestFit="1" customWidth="1"/>
    <col min="58" max="58" width="29.5546875" bestFit="1" customWidth="1"/>
  </cols>
  <sheetData>
    <row r="1" spans="1:64" x14ac:dyDescent="0.3">
      <c r="A1" t="s">
        <v>25</v>
      </c>
      <c r="B1" t="s">
        <v>26</v>
      </c>
      <c r="C1">
        <v>1950</v>
      </c>
      <c r="D1">
        <v>1951</v>
      </c>
      <c r="E1">
        <v>1952</v>
      </c>
      <c r="F1">
        <v>1953</v>
      </c>
      <c r="G1">
        <v>1954</v>
      </c>
      <c r="H1">
        <v>1955</v>
      </c>
      <c r="I1">
        <v>1956</v>
      </c>
      <c r="J1">
        <v>1957</v>
      </c>
      <c r="K1">
        <v>1958</v>
      </c>
      <c r="L1">
        <v>1959</v>
      </c>
      <c r="M1">
        <v>1960</v>
      </c>
      <c r="N1">
        <v>1961</v>
      </c>
      <c r="O1">
        <v>1962</v>
      </c>
      <c r="P1">
        <v>1963</v>
      </c>
      <c r="Q1">
        <v>1964</v>
      </c>
      <c r="R1">
        <v>1965</v>
      </c>
      <c r="S1">
        <v>1966</v>
      </c>
      <c r="T1">
        <v>1967</v>
      </c>
      <c r="U1">
        <v>1968</v>
      </c>
      <c r="V1">
        <v>1969</v>
      </c>
      <c r="W1">
        <v>1970</v>
      </c>
      <c r="X1">
        <v>1971</v>
      </c>
      <c r="Y1">
        <v>1972</v>
      </c>
      <c r="Z1">
        <v>1973</v>
      </c>
      <c r="AA1">
        <v>1974</v>
      </c>
      <c r="AB1">
        <v>1975</v>
      </c>
      <c r="AC1">
        <v>1976</v>
      </c>
      <c r="AD1">
        <v>1977</v>
      </c>
      <c r="AE1">
        <v>1978</v>
      </c>
      <c r="AF1">
        <v>1979</v>
      </c>
      <c r="AG1">
        <v>1980</v>
      </c>
      <c r="AH1">
        <v>1981</v>
      </c>
      <c r="AI1">
        <v>1982</v>
      </c>
      <c r="AJ1">
        <v>1983</v>
      </c>
      <c r="AK1">
        <v>1984</v>
      </c>
      <c r="AL1">
        <v>1985</v>
      </c>
      <c r="AM1">
        <v>1986</v>
      </c>
      <c r="AN1">
        <v>1987</v>
      </c>
      <c r="AO1">
        <v>1988</v>
      </c>
      <c r="AP1">
        <v>1989</v>
      </c>
      <c r="AQ1">
        <v>1990</v>
      </c>
      <c r="AR1" s="14">
        <v>1991</v>
      </c>
      <c r="AS1" s="14">
        <v>1992</v>
      </c>
      <c r="AT1" s="14">
        <v>1993</v>
      </c>
      <c r="AU1" s="14">
        <v>1994</v>
      </c>
      <c r="AV1" s="14">
        <v>1995</v>
      </c>
      <c r="AW1" s="14">
        <v>1996</v>
      </c>
      <c r="AX1" s="14">
        <v>1997</v>
      </c>
      <c r="AY1" s="14">
        <v>1998</v>
      </c>
      <c r="AZ1" s="14">
        <v>1999</v>
      </c>
      <c r="BA1" s="14">
        <v>2000</v>
      </c>
      <c r="BB1" s="14">
        <v>2001</v>
      </c>
      <c r="BC1" s="14">
        <v>2002</v>
      </c>
      <c r="BD1" s="14">
        <v>2003</v>
      </c>
      <c r="BE1" s="14">
        <v>2004</v>
      </c>
      <c r="BF1" s="14">
        <v>2005</v>
      </c>
      <c r="BG1" s="14">
        <v>2006</v>
      </c>
      <c r="BH1" s="14">
        <v>2007</v>
      </c>
      <c r="BI1" s="14">
        <v>2008</v>
      </c>
      <c r="BJ1" s="14">
        <v>2009</v>
      </c>
      <c r="BK1" s="14">
        <v>2010</v>
      </c>
      <c r="BL1" t="s">
        <v>137</v>
      </c>
    </row>
    <row r="2" spans="1:64" x14ac:dyDescent="0.3">
      <c r="A2" t="s">
        <v>27</v>
      </c>
      <c r="B2" t="s">
        <v>145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19</v>
      </c>
      <c r="AS2">
        <v>35</v>
      </c>
      <c r="AT2">
        <v>84</v>
      </c>
      <c r="AU2">
        <v>113</v>
      </c>
      <c r="AV2">
        <v>154</v>
      </c>
      <c r="AW2">
        <v>87</v>
      </c>
      <c r="AX2">
        <v>39</v>
      </c>
      <c r="AY2">
        <v>36</v>
      </c>
      <c r="AZ2">
        <v>72</v>
      </c>
      <c r="BA2">
        <v>121</v>
      </c>
      <c r="BB2">
        <v>110</v>
      </c>
      <c r="BC2">
        <v>206</v>
      </c>
      <c r="BD2">
        <v>65</v>
      </c>
      <c r="BE2">
        <v>103</v>
      </c>
      <c r="BF2">
        <v>57</v>
      </c>
      <c r="BG2">
        <v>57</v>
      </c>
      <c r="BH2">
        <v>33</v>
      </c>
      <c r="BI2">
        <v>53</v>
      </c>
      <c r="BJ2">
        <v>46</v>
      </c>
      <c r="BK2">
        <v>33</v>
      </c>
      <c r="BL2" t="s">
        <v>22</v>
      </c>
    </row>
    <row r="3" spans="1:64" x14ac:dyDescent="0.3">
      <c r="A3" t="s">
        <v>27</v>
      </c>
      <c r="B3" t="s">
        <v>146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35</v>
      </c>
      <c r="O3">
        <v>22</v>
      </c>
      <c r="P3">
        <v>36</v>
      </c>
      <c r="Q3">
        <v>13</v>
      </c>
      <c r="R3">
        <v>67</v>
      </c>
      <c r="S3">
        <v>22</v>
      </c>
      <c r="T3">
        <v>17</v>
      </c>
      <c r="U3">
        <v>40</v>
      </c>
      <c r="V3">
        <v>44</v>
      </c>
      <c r="W3">
        <v>162</v>
      </c>
      <c r="X3">
        <v>45</v>
      </c>
      <c r="Y3">
        <v>47</v>
      </c>
      <c r="Z3">
        <v>94</v>
      </c>
      <c r="AA3">
        <v>29</v>
      </c>
      <c r="AB3">
        <v>78</v>
      </c>
      <c r="AC3">
        <v>24</v>
      </c>
      <c r="AD3">
        <v>222</v>
      </c>
      <c r="AE3">
        <v>59</v>
      </c>
      <c r="AF3">
        <v>21</v>
      </c>
      <c r="AG3">
        <v>7</v>
      </c>
      <c r="AH3">
        <v>23</v>
      </c>
      <c r="AI3">
        <v>37</v>
      </c>
      <c r="AJ3">
        <v>107</v>
      </c>
      <c r="AK3">
        <v>79</v>
      </c>
      <c r="AL3">
        <v>69</v>
      </c>
      <c r="AM3">
        <v>67</v>
      </c>
      <c r="AN3">
        <v>62</v>
      </c>
      <c r="AO3">
        <v>50</v>
      </c>
      <c r="AP3">
        <v>68</v>
      </c>
      <c r="AQ3">
        <v>142</v>
      </c>
      <c r="AR3">
        <v>9</v>
      </c>
      <c r="AS3">
        <v>13</v>
      </c>
      <c r="AT3">
        <v>25</v>
      </c>
      <c r="AU3">
        <v>13</v>
      </c>
      <c r="AV3">
        <v>15</v>
      </c>
      <c r="AW3">
        <v>5</v>
      </c>
      <c r="AX3">
        <v>4</v>
      </c>
      <c r="AY3">
        <v>4</v>
      </c>
      <c r="AZ3">
        <v>5</v>
      </c>
      <c r="BA3">
        <v>12</v>
      </c>
      <c r="BB3">
        <v>20</v>
      </c>
      <c r="BC3">
        <v>40</v>
      </c>
      <c r="BD3">
        <v>18</v>
      </c>
      <c r="BE3">
        <v>12</v>
      </c>
      <c r="BF3">
        <v>10</v>
      </c>
      <c r="BG3">
        <v>9</v>
      </c>
      <c r="BH3">
        <v>7</v>
      </c>
      <c r="BI3">
        <v>10</v>
      </c>
      <c r="BJ3">
        <v>17</v>
      </c>
      <c r="BK3">
        <v>10</v>
      </c>
      <c r="BL3" t="s">
        <v>22</v>
      </c>
    </row>
    <row r="4" spans="1:64" x14ac:dyDescent="0.3">
      <c r="A4" s="15" t="s">
        <v>27</v>
      </c>
      <c r="B4" s="15" t="s">
        <v>147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1</v>
      </c>
      <c r="AS4" s="15">
        <v>0</v>
      </c>
      <c r="AT4" s="15">
        <v>1</v>
      </c>
      <c r="AU4" s="15">
        <v>1</v>
      </c>
      <c r="AV4" s="15">
        <v>1</v>
      </c>
      <c r="AW4" s="15">
        <v>0</v>
      </c>
      <c r="AX4" s="15">
        <v>2</v>
      </c>
      <c r="AY4" s="15">
        <v>0</v>
      </c>
      <c r="AZ4" s="15">
        <v>2</v>
      </c>
      <c r="BA4" s="15">
        <v>1</v>
      </c>
      <c r="BB4" s="15">
        <v>1</v>
      </c>
      <c r="BC4" s="15">
        <v>1</v>
      </c>
      <c r="BD4" s="15">
        <v>1</v>
      </c>
      <c r="BE4" s="15">
        <v>0</v>
      </c>
      <c r="BF4" s="15">
        <v>0</v>
      </c>
      <c r="BG4" s="15">
        <v>0</v>
      </c>
      <c r="BH4" s="15">
        <v>1</v>
      </c>
      <c r="BI4" s="15">
        <v>0</v>
      </c>
      <c r="BJ4" s="15">
        <v>0</v>
      </c>
      <c r="BK4" s="15">
        <v>0</v>
      </c>
      <c r="BL4" s="15" t="s">
        <v>22</v>
      </c>
    </row>
    <row r="5" spans="1:64" x14ac:dyDescent="0.3">
      <c r="A5" t="s">
        <v>36</v>
      </c>
      <c r="B5" t="s">
        <v>148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0.5</v>
      </c>
      <c r="AO5">
        <v>1</v>
      </c>
      <c r="AP5">
        <v>0.5</v>
      </c>
      <c r="AQ5">
        <v>0.5</v>
      </c>
      <c r="AR5">
        <v>0.5</v>
      </c>
      <c r="AS5">
        <v>0.5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0.5</v>
      </c>
      <c r="BA5">
        <v>0.5</v>
      </c>
      <c r="BB5">
        <v>0.5</v>
      </c>
      <c r="BC5">
        <v>0.5</v>
      </c>
      <c r="BD5">
        <v>0.5</v>
      </c>
      <c r="BE5">
        <v>0.5</v>
      </c>
      <c r="BF5">
        <v>0</v>
      </c>
      <c r="BG5">
        <v>0.5</v>
      </c>
      <c r="BH5">
        <v>2</v>
      </c>
      <c r="BI5">
        <v>0.5</v>
      </c>
      <c r="BJ5">
        <v>0.5</v>
      </c>
      <c r="BK5">
        <v>0</v>
      </c>
      <c r="BL5" t="s">
        <v>22</v>
      </c>
    </row>
    <row r="6" spans="1:64" x14ac:dyDescent="0.3">
      <c r="A6" t="s">
        <v>36</v>
      </c>
      <c r="B6" t="s">
        <v>149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22</v>
      </c>
    </row>
    <row r="7" spans="1:64" x14ac:dyDescent="0.3">
      <c r="A7" t="s">
        <v>37</v>
      </c>
      <c r="B7" t="s">
        <v>150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 t="s">
        <v>22</v>
      </c>
    </row>
    <row r="8" spans="1:64" x14ac:dyDescent="0.3">
      <c r="A8" t="s">
        <v>37</v>
      </c>
      <c r="B8" t="s">
        <v>151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22</v>
      </c>
    </row>
    <row r="9" spans="1:64" x14ac:dyDescent="0.3">
      <c r="A9" t="s">
        <v>37</v>
      </c>
      <c r="B9" t="s">
        <v>145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1</v>
      </c>
      <c r="BI9">
        <v>4</v>
      </c>
      <c r="BJ9">
        <v>73</v>
      </c>
      <c r="BK9">
        <v>96</v>
      </c>
      <c r="BL9" t="s">
        <v>22</v>
      </c>
    </row>
    <row r="10" spans="1:64" x14ac:dyDescent="0.3">
      <c r="A10" t="s">
        <v>37</v>
      </c>
      <c r="B10" t="s">
        <v>148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8</v>
      </c>
      <c r="AD10">
        <v>132</v>
      </c>
      <c r="AE10">
        <v>0</v>
      </c>
      <c r="AF10">
        <v>4</v>
      </c>
      <c r="AG10">
        <v>0.5</v>
      </c>
      <c r="AH10">
        <v>0</v>
      </c>
      <c r="AI10">
        <v>14</v>
      </c>
      <c r="AJ10">
        <v>94</v>
      </c>
      <c r="AK10">
        <v>108</v>
      </c>
      <c r="AL10">
        <v>74</v>
      </c>
      <c r="AM10">
        <v>3</v>
      </c>
      <c r="AN10">
        <v>17</v>
      </c>
      <c r="AO10">
        <v>39</v>
      </c>
      <c r="AP10">
        <v>63</v>
      </c>
      <c r="AQ10">
        <v>118</v>
      </c>
      <c r="AR10">
        <v>43</v>
      </c>
      <c r="AS10">
        <v>111</v>
      </c>
      <c r="AT10">
        <v>173</v>
      </c>
      <c r="AU10">
        <v>191</v>
      </c>
      <c r="AV10">
        <v>233</v>
      </c>
      <c r="AW10">
        <v>173</v>
      </c>
      <c r="AX10">
        <v>51</v>
      </c>
      <c r="AY10">
        <v>140</v>
      </c>
      <c r="AZ10">
        <v>0</v>
      </c>
      <c r="BA10">
        <v>420</v>
      </c>
      <c r="BB10">
        <v>184</v>
      </c>
      <c r="BC10">
        <v>217</v>
      </c>
      <c r="BD10">
        <v>162</v>
      </c>
      <c r="BE10">
        <v>120</v>
      </c>
      <c r="BF10">
        <v>116</v>
      </c>
      <c r="BG10">
        <v>85</v>
      </c>
      <c r="BH10">
        <v>89</v>
      </c>
      <c r="BI10">
        <v>69</v>
      </c>
      <c r="BJ10">
        <v>0</v>
      </c>
      <c r="BK10">
        <v>1</v>
      </c>
      <c r="BL10" t="s">
        <v>22</v>
      </c>
    </row>
    <row r="11" spans="1:64" x14ac:dyDescent="0.3">
      <c r="A11" t="s">
        <v>37</v>
      </c>
      <c r="B11" t="s">
        <v>152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98</v>
      </c>
      <c r="BI11">
        <v>93</v>
      </c>
      <c r="BJ11">
        <v>414</v>
      </c>
      <c r="BK11">
        <v>125</v>
      </c>
      <c r="BL11" t="s">
        <v>22</v>
      </c>
    </row>
    <row r="12" spans="1:64" x14ac:dyDescent="0.3">
      <c r="A12" t="s">
        <v>37</v>
      </c>
      <c r="B12" t="s">
        <v>153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300</v>
      </c>
      <c r="AB12">
        <v>0</v>
      </c>
      <c r="AC12">
        <v>4</v>
      </c>
      <c r="AD12">
        <v>20</v>
      </c>
      <c r="AE12">
        <v>0</v>
      </c>
      <c r="AF12">
        <v>1</v>
      </c>
      <c r="AG12">
        <v>22</v>
      </c>
      <c r="AH12">
        <v>6</v>
      </c>
      <c r="AI12">
        <v>34</v>
      </c>
      <c r="AJ12">
        <v>25</v>
      </c>
      <c r="AK12">
        <v>7</v>
      </c>
      <c r="AL12">
        <v>31</v>
      </c>
      <c r="AM12">
        <v>45</v>
      </c>
      <c r="AN12">
        <v>126</v>
      </c>
      <c r="AO12">
        <v>42</v>
      </c>
      <c r="AP12">
        <v>93</v>
      </c>
      <c r="AQ12">
        <v>97</v>
      </c>
      <c r="AR12">
        <v>103</v>
      </c>
      <c r="AS12">
        <v>118</v>
      </c>
      <c r="AT12">
        <v>298</v>
      </c>
      <c r="AU12">
        <v>193</v>
      </c>
      <c r="AV12">
        <v>188</v>
      </c>
      <c r="AW12">
        <v>85</v>
      </c>
      <c r="AX12">
        <v>121</v>
      </c>
      <c r="AY12">
        <v>93</v>
      </c>
      <c r="AZ12">
        <v>0</v>
      </c>
      <c r="BA12">
        <v>165</v>
      </c>
      <c r="BB12">
        <v>237</v>
      </c>
      <c r="BC12">
        <v>662</v>
      </c>
      <c r="BD12">
        <v>460</v>
      </c>
      <c r="BE12">
        <v>246</v>
      </c>
      <c r="BF12">
        <v>146</v>
      </c>
      <c r="BG12">
        <v>117</v>
      </c>
      <c r="BH12">
        <v>0</v>
      </c>
      <c r="BI12">
        <v>0</v>
      </c>
      <c r="BJ12">
        <v>0</v>
      </c>
      <c r="BK12">
        <v>0</v>
      </c>
      <c r="BL12" t="s">
        <v>22</v>
      </c>
    </row>
    <row r="13" spans="1:64" x14ac:dyDescent="0.3">
      <c r="A13" t="s">
        <v>42</v>
      </c>
      <c r="B13" t="s">
        <v>154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0.5</v>
      </c>
      <c r="BH13">
        <v>0</v>
      </c>
      <c r="BI13">
        <v>0</v>
      </c>
      <c r="BJ13">
        <v>0.5</v>
      </c>
      <c r="BK13">
        <v>0</v>
      </c>
      <c r="BL13" t="s">
        <v>22</v>
      </c>
    </row>
    <row r="14" spans="1:64" x14ac:dyDescent="0.3">
      <c r="A14" t="s">
        <v>42</v>
      </c>
      <c r="B14" t="s">
        <v>153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2</v>
      </c>
      <c r="AV14">
        <v>6</v>
      </c>
      <c r="AW14">
        <v>2</v>
      </c>
      <c r="AX14">
        <v>1</v>
      </c>
      <c r="AY14">
        <v>6</v>
      </c>
      <c r="AZ14">
        <v>1</v>
      </c>
      <c r="BA14">
        <v>2</v>
      </c>
      <c r="BB14">
        <v>2</v>
      </c>
      <c r="BC14">
        <v>3</v>
      </c>
      <c r="BD14">
        <v>4</v>
      </c>
      <c r="BE14">
        <v>4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0</v>
      </c>
      <c r="BL14" t="s">
        <v>22</v>
      </c>
    </row>
    <row r="15" spans="1:64" x14ac:dyDescent="0.3">
      <c r="A15" t="s">
        <v>46</v>
      </c>
      <c r="B15" t="s">
        <v>145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97</v>
      </c>
      <c r="BB15">
        <v>118</v>
      </c>
      <c r="BC15">
        <v>363</v>
      </c>
      <c r="BD15">
        <v>229</v>
      </c>
      <c r="BE15">
        <v>352</v>
      </c>
      <c r="BF15">
        <v>146</v>
      </c>
      <c r="BG15">
        <v>295</v>
      </c>
      <c r="BH15">
        <v>174</v>
      </c>
      <c r="BI15">
        <v>133</v>
      </c>
      <c r="BJ15">
        <v>63</v>
      </c>
      <c r="BK15">
        <v>151</v>
      </c>
      <c r="BL15" t="s">
        <v>22</v>
      </c>
    </row>
    <row r="16" spans="1:64" x14ac:dyDescent="0.3">
      <c r="A16" t="s">
        <v>46</v>
      </c>
      <c r="B16" t="s">
        <v>146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42</v>
      </c>
      <c r="O16">
        <v>0</v>
      </c>
      <c r="P16">
        <v>14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22</v>
      </c>
    </row>
    <row r="17" spans="1:64" x14ac:dyDescent="0.3">
      <c r="A17" t="s">
        <v>46</v>
      </c>
      <c r="B17" t="s">
        <v>148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49</v>
      </c>
      <c r="L17">
        <v>98</v>
      </c>
      <c r="M17">
        <v>247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78</v>
      </c>
      <c r="X17">
        <v>0</v>
      </c>
      <c r="Y17">
        <v>39</v>
      </c>
      <c r="Z17">
        <v>30</v>
      </c>
      <c r="AA17">
        <v>46</v>
      </c>
      <c r="AB17">
        <v>35</v>
      </c>
      <c r="AC17">
        <v>67</v>
      </c>
      <c r="AD17">
        <v>74</v>
      </c>
      <c r="AE17">
        <v>5</v>
      </c>
      <c r="AF17">
        <v>5</v>
      </c>
      <c r="AG17">
        <v>10</v>
      </c>
      <c r="AH17">
        <v>24</v>
      </c>
      <c r="AI17">
        <v>33</v>
      </c>
      <c r="AJ17">
        <v>339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22</v>
      </c>
    </row>
    <row r="18" spans="1:64" x14ac:dyDescent="0.3">
      <c r="A18" s="15" t="s">
        <v>46</v>
      </c>
      <c r="B18" s="15" t="s">
        <v>155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2</v>
      </c>
      <c r="BD18" s="15">
        <v>1</v>
      </c>
      <c r="BE18" s="15">
        <v>0</v>
      </c>
      <c r="BF18" s="15">
        <v>1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 t="s">
        <v>22</v>
      </c>
    </row>
    <row r="19" spans="1:64" x14ac:dyDescent="0.3">
      <c r="A19" t="s">
        <v>46</v>
      </c>
      <c r="B19" t="s">
        <v>153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758</v>
      </c>
      <c r="BB19">
        <v>137</v>
      </c>
      <c r="BC19">
        <v>195</v>
      </c>
      <c r="BD19">
        <v>104</v>
      </c>
      <c r="BE19">
        <v>93</v>
      </c>
      <c r="BF19">
        <v>38</v>
      </c>
      <c r="BG19">
        <v>27</v>
      </c>
      <c r="BH19">
        <v>83</v>
      </c>
      <c r="BI19">
        <v>77</v>
      </c>
      <c r="BJ19">
        <v>86</v>
      </c>
      <c r="BK19">
        <v>53</v>
      </c>
      <c r="BL19" t="s">
        <v>22</v>
      </c>
    </row>
    <row r="20" spans="1:64" x14ac:dyDescent="0.3">
      <c r="A20" t="s">
        <v>88</v>
      </c>
      <c r="B20" t="s">
        <v>146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6</v>
      </c>
      <c r="AQ20">
        <v>4</v>
      </c>
      <c r="AR20">
        <v>2</v>
      </c>
      <c r="AS20">
        <v>4</v>
      </c>
      <c r="AT20">
        <v>3</v>
      </c>
      <c r="AU20">
        <v>10</v>
      </c>
      <c r="AV20">
        <v>12</v>
      </c>
      <c r="AW20">
        <v>3</v>
      </c>
      <c r="AX20">
        <v>3</v>
      </c>
      <c r="AY20">
        <v>2</v>
      </c>
      <c r="AZ20">
        <v>2</v>
      </c>
      <c r="BA20">
        <v>4</v>
      </c>
      <c r="BB20">
        <v>12</v>
      </c>
      <c r="BC20">
        <v>5</v>
      </c>
      <c r="BD20">
        <v>2</v>
      </c>
      <c r="BE20">
        <v>2</v>
      </c>
      <c r="BF20">
        <v>3</v>
      </c>
      <c r="BG20">
        <v>2</v>
      </c>
      <c r="BH20">
        <v>2</v>
      </c>
      <c r="BI20">
        <v>2</v>
      </c>
      <c r="BJ20">
        <v>3</v>
      </c>
      <c r="BK20">
        <v>1</v>
      </c>
      <c r="BL20" t="s">
        <v>22</v>
      </c>
    </row>
    <row r="21" spans="1:64" x14ac:dyDescent="0.3">
      <c r="A21" t="s">
        <v>88</v>
      </c>
      <c r="B21" t="s">
        <v>148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10</v>
      </c>
      <c r="AQ21">
        <v>2</v>
      </c>
      <c r="AR21">
        <v>15</v>
      </c>
      <c r="AS21">
        <v>26</v>
      </c>
      <c r="AT21">
        <v>22</v>
      </c>
      <c r="AU21">
        <v>47</v>
      </c>
      <c r="AV21">
        <v>165</v>
      </c>
      <c r="AW21">
        <v>90</v>
      </c>
      <c r="AX21">
        <v>22</v>
      </c>
      <c r="AY21">
        <v>28</v>
      </c>
      <c r="AZ21">
        <v>22</v>
      </c>
      <c r="BA21">
        <v>14</v>
      </c>
      <c r="BB21">
        <v>5</v>
      </c>
      <c r="BC21">
        <v>4</v>
      </c>
      <c r="BD21">
        <v>2</v>
      </c>
      <c r="BE21">
        <v>2</v>
      </c>
      <c r="BF21">
        <v>3</v>
      </c>
      <c r="BG21">
        <v>3</v>
      </c>
      <c r="BH21">
        <v>3</v>
      </c>
      <c r="BI21">
        <v>2</v>
      </c>
      <c r="BJ21">
        <v>8</v>
      </c>
      <c r="BK21">
        <v>7</v>
      </c>
      <c r="BL21" t="s">
        <v>22</v>
      </c>
    </row>
    <row r="22" spans="1:64" x14ac:dyDescent="0.3">
      <c r="A22" s="15" t="s">
        <v>88</v>
      </c>
      <c r="B22" s="15" t="s">
        <v>155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0.5</v>
      </c>
      <c r="AQ22" s="15">
        <v>0.5</v>
      </c>
      <c r="AR22" s="15">
        <v>0.5</v>
      </c>
      <c r="AS22" s="15">
        <v>1</v>
      </c>
      <c r="AT22" s="15">
        <v>0.5</v>
      </c>
      <c r="AU22" s="15">
        <v>4</v>
      </c>
      <c r="AV22" s="15">
        <v>8</v>
      </c>
      <c r="AW22" s="15">
        <v>4</v>
      </c>
      <c r="AX22" s="15">
        <v>1</v>
      </c>
      <c r="AY22" s="15">
        <v>0.5</v>
      </c>
      <c r="AZ22" s="15">
        <v>0.5</v>
      </c>
      <c r="BA22" s="15">
        <v>0.5</v>
      </c>
      <c r="BB22" s="15">
        <v>0</v>
      </c>
      <c r="BC22" s="15">
        <v>0.5</v>
      </c>
      <c r="BD22" s="15">
        <v>0.5</v>
      </c>
      <c r="BE22" s="15">
        <v>0.5</v>
      </c>
      <c r="BF22" s="15">
        <v>0</v>
      </c>
      <c r="BG22" s="15">
        <v>0.5</v>
      </c>
      <c r="BH22" s="15">
        <v>0.5</v>
      </c>
      <c r="BI22" s="15">
        <v>0.5</v>
      </c>
      <c r="BJ22" s="15">
        <v>0.5</v>
      </c>
      <c r="BK22" s="15">
        <v>0</v>
      </c>
      <c r="BL22" s="15" t="s">
        <v>22</v>
      </c>
    </row>
    <row r="23" spans="1:64" x14ac:dyDescent="0.3">
      <c r="A23" t="s">
        <v>88</v>
      </c>
      <c r="B23" t="s">
        <v>153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0.5</v>
      </c>
      <c r="BH23">
        <v>0</v>
      </c>
      <c r="BI23">
        <v>0</v>
      </c>
      <c r="BJ23">
        <v>0</v>
      </c>
      <c r="BK23">
        <v>0</v>
      </c>
      <c r="BL23" t="s">
        <v>22</v>
      </c>
    </row>
    <row r="24" spans="1:64" x14ac:dyDescent="0.3">
      <c r="A24" t="s">
        <v>89</v>
      </c>
      <c r="B24" t="s">
        <v>145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1</v>
      </c>
      <c r="AO24">
        <v>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22</v>
      </c>
    </row>
    <row r="25" spans="1:64" x14ac:dyDescent="0.3">
      <c r="A25" t="s">
        <v>89</v>
      </c>
      <c r="B25" t="s">
        <v>146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0.5</v>
      </c>
      <c r="AK25">
        <v>0.5</v>
      </c>
      <c r="AL25">
        <v>0.5</v>
      </c>
      <c r="AM25">
        <v>1</v>
      </c>
      <c r="AN25">
        <v>3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22</v>
      </c>
    </row>
    <row r="26" spans="1:64" x14ac:dyDescent="0.3">
      <c r="A26" t="s">
        <v>89</v>
      </c>
      <c r="B26" t="s">
        <v>148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5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22</v>
      </c>
    </row>
    <row r="27" spans="1:64" x14ac:dyDescent="0.3">
      <c r="A27" s="15" t="s">
        <v>89</v>
      </c>
      <c r="B27" s="15" t="s">
        <v>155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0.5</v>
      </c>
      <c r="AM27" s="15">
        <v>0.5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 t="s">
        <v>22</v>
      </c>
    </row>
    <row r="28" spans="1:64" x14ac:dyDescent="0.3">
      <c r="A28" t="s">
        <v>89</v>
      </c>
      <c r="B28" t="s">
        <v>153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0.5</v>
      </c>
      <c r="AA28">
        <v>0.5</v>
      </c>
      <c r="AB28">
        <v>2</v>
      </c>
      <c r="AC28">
        <v>0.5</v>
      </c>
      <c r="AD28">
        <v>1</v>
      </c>
      <c r="AE28">
        <v>0.5</v>
      </c>
      <c r="AF28">
        <v>1</v>
      </c>
      <c r="AG28">
        <v>0.5</v>
      </c>
      <c r="AH28">
        <v>1</v>
      </c>
      <c r="AI28">
        <v>2</v>
      </c>
      <c r="AJ28">
        <v>0.5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22</v>
      </c>
    </row>
    <row r="29" spans="1:64" x14ac:dyDescent="0.3">
      <c r="A29" t="s">
        <v>90</v>
      </c>
      <c r="B29" t="s">
        <v>146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</v>
      </c>
      <c r="BH29">
        <v>1</v>
      </c>
      <c r="BI29">
        <v>0.5</v>
      </c>
      <c r="BJ29">
        <v>0.5</v>
      </c>
      <c r="BK29">
        <v>0</v>
      </c>
      <c r="BL29" t="s">
        <v>22</v>
      </c>
    </row>
    <row r="30" spans="1:64" x14ac:dyDescent="0.3">
      <c r="A30" t="s">
        <v>90</v>
      </c>
      <c r="B30" t="s">
        <v>148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1</v>
      </c>
      <c r="BG30">
        <v>0.5</v>
      </c>
      <c r="BH30">
        <v>1</v>
      </c>
      <c r="BI30">
        <v>0.5</v>
      </c>
      <c r="BJ30">
        <v>0</v>
      </c>
      <c r="BK30">
        <v>0</v>
      </c>
      <c r="BL30" t="s">
        <v>22</v>
      </c>
    </row>
    <row r="31" spans="1:64" x14ac:dyDescent="0.3">
      <c r="A31" t="s">
        <v>90</v>
      </c>
      <c r="B31" t="s">
        <v>153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0.5</v>
      </c>
      <c r="AM31">
        <v>0</v>
      </c>
      <c r="AN31">
        <v>0</v>
      </c>
      <c r="AO31">
        <v>0</v>
      </c>
      <c r="AP31">
        <v>0</v>
      </c>
      <c r="AQ31">
        <v>0.5</v>
      </c>
      <c r="AR31">
        <v>0.5</v>
      </c>
      <c r="AS31">
        <v>0.5</v>
      </c>
      <c r="AT31">
        <v>0.5</v>
      </c>
      <c r="AU31">
        <v>0</v>
      </c>
      <c r="AV31">
        <v>1</v>
      </c>
      <c r="AW31">
        <v>0.5</v>
      </c>
      <c r="AX31">
        <v>0.5</v>
      </c>
      <c r="AY31">
        <v>1</v>
      </c>
      <c r="AZ31">
        <v>0.5</v>
      </c>
      <c r="BA31">
        <v>1</v>
      </c>
      <c r="BB31">
        <v>0</v>
      </c>
      <c r="BC31">
        <v>1</v>
      </c>
      <c r="BD31">
        <v>2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22</v>
      </c>
    </row>
    <row r="32" spans="1:64" x14ac:dyDescent="0.3">
      <c r="AR32">
        <f>SUM(AR2:AR31)</f>
        <v>193.5</v>
      </c>
      <c r="AS32">
        <f>SUM(AS2:AS31)</f>
        <v>309</v>
      </c>
      <c r="AT32">
        <f>SUM(AT2:AT31)</f>
        <v>608</v>
      </c>
      <c r="AU32">
        <f>SUM(AU2:AU31)</f>
        <v>574.5</v>
      </c>
      <c r="AV32">
        <f>SUM(AV2:AV31)</f>
        <v>784</v>
      </c>
      <c r="AW32">
        <f>SUM(AW2:AW31)</f>
        <v>450</v>
      </c>
      <c r="AX32">
        <f>SUM(AX2:AX31)</f>
        <v>245</v>
      </c>
      <c r="AY32">
        <f>SUM(AY2:AY31)</f>
        <v>311</v>
      </c>
      <c r="AZ32">
        <f>SUM(AZ2:AZ31)</f>
        <v>105.5</v>
      </c>
      <c r="BA32">
        <f>SUM(BA2:BA31)</f>
        <v>1596</v>
      </c>
      <c r="BB32">
        <f>SUM(BB2:BB31)</f>
        <v>826.5</v>
      </c>
      <c r="BC32">
        <f>SUM(BC2:BC31)</f>
        <v>1700</v>
      </c>
      <c r="BD32">
        <f>SUM(BD2:BD31)</f>
        <v>1051</v>
      </c>
      <c r="BE32">
        <f>SUM(BE2:BE31)</f>
        <v>937</v>
      </c>
      <c r="BF32">
        <f>SUM(BF2:BF31)</f>
        <v>523</v>
      </c>
      <c r="BG32">
        <f>SUM(BG2:BG31)</f>
        <v>602.5</v>
      </c>
      <c r="BH32">
        <f>SUM(BH2:BH31)</f>
        <v>495.5</v>
      </c>
      <c r="BI32">
        <f>SUM(BI2:BI31)</f>
        <v>445</v>
      </c>
      <c r="BJ32">
        <f>SUM(BJ2:BJ31)</f>
        <v>713</v>
      </c>
      <c r="BK32">
        <f>SUM(BK2:BK31)</f>
        <v>477</v>
      </c>
    </row>
    <row r="34" spans="56:74" x14ac:dyDescent="0.3">
      <c r="BD34" t="s">
        <v>156</v>
      </c>
      <c r="BE34" t="s">
        <v>157</v>
      </c>
      <c r="BF34" t="s">
        <v>25</v>
      </c>
      <c r="BG34">
        <v>2006</v>
      </c>
      <c r="BH34">
        <v>2007</v>
      </c>
      <c r="BI34">
        <v>2008</v>
      </c>
      <c r="BJ34">
        <v>2009</v>
      </c>
      <c r="BK34">
        <v>2010</v>
      </c>
      <c r="BL34">
        <v>2011</v>
      </c>
      <c r="BM34">
        <v>2012</v>
      </c>
      <c r="BN34">
        <v>2013</v>
      </c>
      <c r="BO34">
        <v>2014</v>
      </c>
      <c r="BP34">
        <v>2015</v>
      </c>
      <c r="BQ34">
        <v>2016</v>
      </c>
      <c r="BR34">
        <v>2017</v>
      </c>
      <c r="BS34">
        <v>2018</v>
      </c>
      <c r="BT34">
        <v>2019</v>
      </c>
      <c r="BU34">
        <v>2020</v>
      </c>
      <c r="BV34">
        <v>2021</v>
      </c>
    </row>
    <row r="35" spans="56:74" x14ac:dyDescent="0.3">
      <c r="BD35" t="s">
        <v>159</v>
      </c>
      <c r="BE35" t="s">
        <v>151</v>
      </c>
      <c r="BF35" t="s">
        <v>158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0.15</v>
      </c>
      <c r="BP35">
        <v>3.22</v>
      </c>
      <c r="BQ35">
        <v>1.71</v>
      </c>
      <c r="BR35">
        <v>0</v>
      </c>
      <c r="BS35">
        <v>0</v>
      </c>
      <c r="BT35">
        <v>0</v>
      </c>
      <c r="BU35">
        <v>0</v>
      </c>
      <c r="BV35">
        <v>0</v>
      </c>
    </row>
    <row r="36" spans="56:74" x14ac:dyDescent="0.3">
      <c r="BD36" t="s">
        <v>161</v>
      </c>
      <c r="BE36" t="s">
        <v>145</v>
      </c>
      <c r="BF36" t="s">
        <v>160</v>
      </c>
      <c r="BG36">
        <v>57.3</v>
      </c>
      <c r="BH36">
        <v>33.4</v>
      </c>
      <c r="BI36">
        <v>53.3</v>
      </c>
      <c r="BJ36">
        <v>46.2</v>
      </c>
      <c r="BK36">
        <v>33.4</v>
      </c>
      <c r="BL36">
        <v>10.9</v>
      </c>
      <c r="BM36">
        <v>32.6</v>
      </c>
      <c r="BN36">
        <v>22.1</v>
      </c>
      <c r="BO36">
        <v>48.8</v>
      </c>
      <c r="BP36">
        <v>39.799999999999997</v>
      </c>
      <c r="BQ36">
        <v>18.5</v>
      </c>
      <c r="BR36">
        <v>13.2</v>
      </c>
      <c r="BS36">
        <v>3.8</v>
      </c>
      <c r="BT36">
        <v>10.5</v>
      </c>
      <c r="BU36">
        <v>14.7</v>
      </c>
      <c r="BV36">
        <v>21</v>
      </c>
    </row>
    <row r="37" spans="56:74" x14ac:dyDescent="0.3">
      <c r="BD37" t="s">
        <v>161</v>
      </c>
      <c r="BE37" t="s">
        <v>145</v>
      </c>
      <c r="BF37" t="s">
        <v>162</v>
      </c>
      <c r="BG37">
        <v>2.2000000000000002</v>
      </c>
      <c r="BH37">
        <v>0.8</v>
      </c>
      <c r="BI37">
        <v>4</v>
      </c>
      <c r="BJ37">
        <v>73.3</v>
      </c>
      <c r="BK37">
        <v>95.7</v>
      </c>
      <c r="BL37">
        <v>37.270000000000003</v>
      </c>
      <c r="BM37">
        <v>41.28</v>
      </c>
      <c r="BN37">
        <v>118.08</v>
      </c>
      <c r="BO37">
        <v>33.18</v>
      </c>
      <c r="BP37">
        <v>84.42</v>
      </c>
      <c r="BQ37">
        <v>61.15</v>
      </c>
      <c r="BR37">
        <v>21.95</v>
      </c>
      <c r="BS37">
        <v>34.658000000000001</v>
      </c>
      <c r="BT37">
        <v>20.135000000000002</v>
      </c>
      <c r="BU37">
        <v>33.860999999999997</v>
      </c>
      <c r="BV37">
        <v>9.6959999999999997</v>
      </c>
    </row>
    <row r="38" spans="56:74" x14ac:dyDescent="0.3">
      <c r="BD38" t="s">
        <v>161</v>
      </c>
      <c r="BE38" t="s">
        <v>145</v>
      </c>
      <c r="BF38" t="s">
        <v>163</v>
      </c>
      <c r="BG38">
        <v>295</v>
      </c>
      <c r="BH38">
        <v>174</v>
      </c>
      <c r="BI38">
        <v>133</v>
      </c>
      <c r="BJ38">
        <v>63</v>
      </c>
      <c r="BK38">
        <v>151</v>
      </c>
      <c r="BL38">
        <v>35</v>
      </c>
      <c r="BM38">
        <v>199</v>
      </c>
      <c r="BN38">
        <v>111</v>
      </c>
      <c r="BO38">
        <v>95.7</v>
      </c>
      <c r="BP38">
        <v>91.6</v>
      </c>
      <c r="BQ38">
        <v>194.5</v>
      </c>
      <c r="BR38">
        <v>70.64</v>
      </c>
      <c r="BS38">
        <v>57.829000000000001</v>
      </c>
      <c r="BT38">
        <v>384.55599999999998</v>
      </c>
      <c r="BU38">
        <v>370.82400000000001</v>
      </c>
      <c r="BV38">
        <v>235.90199999999999</v>
      </c>
    </row>
    <row r="39" spans="56:74" x14ac:dyDescent="0.3">
      <c r="BD39" t="s">
        <v>164</v>
      </c>
      <c r="BE39" t="s">
        <v>165</v>
      </c>
      <c r="BF39" t="s">
        <v>158</v>
      </c>
      <c r="BG39">
        <v>0.01</v>
      </c>
      <c r="BH39">
        <v>2</v>
      </c>
      <c r="BI39">
        <v>0.01</v>
      </c>
      <c r="BJ39">
        <v>0.01</v>
      </c>
      <c r="BK39">
        <v>0.01</v>
      </c>
      <c r="BL39">
        <v>0.1</v>
      </c>
      <c r="BM39">
        <v>0.06</v>
      </c>
      <c r="BN39">
        <v>0.02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</row>
    <row r="40" spans="56:74" x14ac:dyDescent="0.3">
      <c r="BD40" t="s">
        <v>164</v>
      </c>
      <c r="BE40" t="s">
        <v>165</v>
      </c>
      <c r="BF40" t="s">
        <v>162</v>
      </c>
      <c r="BG40">
        <v>85.1</v>
      </c>
      <c r="BH40">
        <v>88.5</v>
      </c>
      <c r="BI40">
        <v>69.099999999999994</v>
      </c>
      <c r="BJ40">
        <v>0</v>
      </c>
      <c r="BK40">
        <v>0.8</v>
      </c>
      <c r="BL40">
        <v>0.11</v>
      </c>
      <c r="BM40">
        <v>0.02</v>
      </c>
      <c r="BN40">
        <v>0.27</v>
      </c>
      <c r="BO40">
        <v>0.04</v>
      </c>
      <c r="BP40">
        <v>0.69</v>
      </c>
      <c r="BQ40">
        <v>0.17</v>
      </c>
      <c r="BR40">
        <v>0.64</v>
      </c>
      <c r="BS40">
        <v>0</v>
      </c>
      <c r="BT40">
        <v>0</v>
      </c>
      <c r="BU40">
        <v>0</v>
      </c>
      <c r="BV40">
        <v>0.03</v>
      </c>
    </row>
    <row r="41" spans="56:74" x14ac:dyDescent="0.3">
      <c r="BD41" t="s">
        <v>164</v>
      </c>
      <c r="BE41" t="s">
        <v>165</v>
      </c>
      <c r="BF41" t="s">
        <v>166</v>
      </c>
      <c r="BG41">
        <v>3.01</v>
      </c>
      <c r="BH41">
        <v>4</v>
      </c>
      <c r="BI41">
        <v>2.0099999999999998</v>
      </c>
      <c r="BJ41">
        <v>8.1999999999999993</v>
      </c>
      <c r="BK41">
        <v>6.8</v>
      </c>
      <c r="BL41">
        <v>4.4000000000000004</v>
      </c>
      <c r="BM41">
        <v>6.6</v>
      </c>
      <c r="BN41">
        <v>3.76</v>
      </c>
      <c r="BO41">
        <v>1.95</v>
      </c>
      <c r="BP41">
        <v>10.89</v>
      </c>
      <c r="BQ41">
        <v>10.09</v>
      </c>
      <c r="BR41">
        <v>6.32</v>
      </c>
      <c r="BS41">
        <v>3.1459999999999999</v>
      </c>
      <c r="BT41">
        <v>6.0984999999999996</v>
      </c>
      <c r="BU41">
        <v>9.9360999999999997</v>
      </c>
      <c r="BV41">
        <v>0</v>
      </c>
    </row>
    <row r="42" spans="56:74" x14ac:dyDescent="0.3">
      <c r="BD42" t="s">
        <v>164</v>
      </c>
      <c r="BE42" t="s">
        <v>165</v>
      </c>
      <c r="BF42" t="s">
        <v>163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0.1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</row>
    <row r="43" spans="56:74" x14ac:dyDescent="0.3">
      <c r="BD43" s="15" t="s">
        <v>167</v>
      </c>
      <c r="BE43" s="15" t="s">
        <v>168</v>
      </c>
      <c r="BF43" s="15" t="s">
        <v>163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>
        <v>3.0000000000000001E-3</v>
      </c>
    </row>
    <row r="44" spans="56:74" x14ac:dyDescent="0.3">
      <c r="BD44" t="s">
        <v>169</v>
      </c>
      <c r="BE44" t="s">
        <v>170</v>
      </c>
      <c r="BF44" t="s">
        <v>162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4.3899999999999997</v>
      </c>
      <c r="BM44">
        <v>6.58</v>
      </c>
      <c r="BN44">
        <v>7.57</v>
      </c>
      <c r="BO44">
        <v>99.01</v>
      </c>
      <c r="BP44">
        <v>23.3</v>
      </c>
      <c r="BQ44">
        <v>72.5</v>
      </c>
      <c r="BR44">
        <v>37.22</v>
      </c>
      <c r="BS44">
        <v>169.20599999999999</v>
      </c>
      <c r="BT44">
        <v>143.28899999999999</v>
      </c>
      <c r="BU44">
        <v>59.228999999999999</v>
      </c>
      <c r="BV44">
        <v>12.279</v>
      </c>
    </row>
    <row r="45" spans="56:74" x14ac:dyDescent="0.3">
      <c r="BD45" s="15" t="s">
        <v>171</v>
      </c>
      <c r="BE45" s="15" t="s">
        <v>172</v>
      </c>
      <c r="BF45" s="15" t="s">
        <v>162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0.25</v>
      </c>
    </row>
    <row r="46" spans="56:74" x14ac:dyDescent="0.3">
      <c r="BD46" s="15" t="s">
        <v>171</v>
      </c>
      <c r="BE46" s="15" t="s">
        <v>172</v>
      </c>
      <c r="BF46" s="15" t="s">
        <v>166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2.044</v>
      </c>
      <c r="BT46" s="15">
        <v>23.533999999999999</v>
      </c>
      <c r="BU46" s="15">
        <v>1.9838</v>
      </c>
      <c r="BV46" s="15">
        <v>0</v>
      </c>
    </row>
    <row r="47" spans="56:74" x14ac:dyDescent="0.3">
      <c r="BD47" s="15" t="s">
        <v>171</v>
      </c>
      <c r="BE47" s="15" t="s">
        <v>172</v>
      </c>
      <c r="BF47" s="15" t="s">
        <v>163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1</v>
      </c>
      <c r="BO47" s="15">
        <v>0.3</v>
      </c>
      <c r="BP47" s="15">
        <v>0</v>
      </c>
      <c r="BQ47" s="15">
        <v>0.1</v>
      </c>
      <c r="BR47" s="15">
        <v>0</v>
      </c>
      <c r="BS47" s="15">
        <v>3.2000000000000001E-2</v>
      </c>
      <c r="BT47" s="15">
        <v>9.7000000000000003E-2</v>
      </c>
      <c r="BU47" s="15">
        <v>0.14399999999999999</v>
      </c>
      <c r="BV47" s="15">
        <v>0.21299999999999999</v>
      </c>
    </row>
    <row r="48" spans="56:74" x14ac:dyDescent="0.3">
      <c r="BD48" s="15" t="s">
        <v>173</v>
      </c>
      <c r="BE48" s="15" t="s">
        <v>155</v>
      </c>
      <c r="BF48" s="15" t="s">
        <v>162</v>
      </c>
      <c r="BG48" s="15">
        <v>0</v>
      </c>
      <c r="BH48" s="15">
        <v>0.2</v>
      </c>
      <c r="BI48" s="15">
        <v>0.2</v>
      </c>
      <c r="BJ48" s="15">
        <v>0</v>
      </c>
      <c r="BK48" s="15">
        <v>0</v>
      </c>
      <c r="BL48" s="15">
        <v>0.05</v>
      </c>
      <c r="BM48" s="15">
        <v>0</v>
      </c>
      <c r="BN48" s="15">
        <v>0.01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3.2000000000000001E-2</v>
      </c>
    </row>
    <row r="49" spans="56:74" x14ac:dyDescent="0.3">
      <c r="BD49" s="15" t="s">
        <v>173</v>
      </c>
      <c r="BE49" s="15" t="s">
        <v>155</v>
      </c>
      <c r="BF49" s="15" t="s">
        <v>166</v>
      </c>
      <c r="BG49" s="15">
        <v>0.01</v>
      </c>
      <c r="BH49" s="15">
        <v>0.01</v>
      </c>
      <c r="BI49" s="15">
        <v>0.01</v>
      </c>
      <c r="BJ49" s="15">
        <v>0.01</v>
      </c>
      <c r="BK49" s="15">
        <v>0</v>
      </c>
      <c r="BL49" s="15">
        <v>0</v>
      </c>
      <c r="BM49" s="15">
        <v>0</v>
      </c>
      <c r="BN49" s="15">
        <v>0.01</v>
      </c>
      <c r="BO49" s="15">
        <v>0.06</v>
      </c>
      <c r="BP49" s="15">
        <v>0</v>
      </c>
      <c r="BQ49" s="15">
        <v>0</v>
      </c>
      <c r="BR49" s="15">
        <v>0</v>
      </c>
      <c r="BS49" s="15">
        <v>0.108</v>
      </c>
      <c r="BT49" s="15">
        <v>0</v>
      </c>
      <c r="BU49" s="15">
        <v>1.6999999999999999E-3</v>
      </c>
      <c r="BV49" s="15">
        <v>0</v>
      </c>
    </row>
    <row r="50" spans="56:74" x14ac:dyDescent="0.3">
      <c r="BD50" s="15" t="s">
        <v>174</v>
      </c>
      <c r="BE50" s="15" t="s">
        <v>147</v>
      </c>
      <c r="BF50" s="15" t="s">
        <v>160</v>
      </c>
      <c r="BG50" s="15">
        <v>0.4</v>
      </c>
      <c r="BH50" s="15">
        <v>0.8</v>
      </c>
      <c r="BI50" s="15">
        <v>0.2</v>
      </c>
      <c r="BJ50" s="15">
        <v>0.4</v>
      </c>
      <c r="BK50" s="15">
        <v>0.3</v>
      </c>
      <c r="BL50" s="15">
        <v>0.1</v>
      </c>
      <c r="BM50" s="15">
        <v>0.1</v>
      </c>
      <c r="BN50" s="15">
        <v>0</v>
      </c>
      <c r="BO50" s="15">
        <v>0.2</v>
      </c>
      <c r="BP50" s="15">
        <v>0.4</v>
      </c>
      <c r="BQ50" s="15">
        <v>0.1</v>
      </c>
      <c r="BR50" s="15">
        <v>0.1</v>
      </c>
      <c r="BS50" s="15">
        <v>0</v>
      </c>
      <c r="BT50" s="15">
        <v>0</v>
      </c>
      <c r="BU50" s="15">
        <v>0.1</v>
      </c>
      <c r="BV50" s="15">
        <v>0</v>
      </c>
    </row>
    <row r="51" spans="56:74" x14ac:dyDescent="0.3">
      <c r="BD51" t="s">
        <v>175</v>
      </c>
      <c r="BE51" t="s">
        <v>150</v>
      </c>
      <c r="BF51" t="s">
        <v>162</v>
      </c>
      <c r="BG51">
        <v>0</v>
      </c>
      <c r="BH51">
        <v>0</v>
      </c>
      <c r="BI51">
        <v>0</v>
      </c>
      <c r="BJ51">
        <v>0.7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</row>
    <row r="52" spans="56:74" x14ac:dyDescent="0.3">
      <c r="BD52" t="s">
        <v>176</v>
      </c>
      <c r="BE52" t="s">
        <v>146</v>
      </c>
      <c r="BF52" t="s">
        <v>160</v>
      </c>
      <c r="BG52">
        <v>9</v>
      </c>
      <c r="BH52">
        <v>7.1</v>
      </c>
      <c r="BI52">
        <v>10.4</v>
      </c>
      <c r="BJ52">
        <v>16.600000000000001</v>
      </c>
      <c r="BK52">
        <v>9.6</v>
      </c>
      <c r="BL52">
        <v>6.4</v>
      </c>
      <c r="BM52">
        <v>4</v>
      </c>
      <c r="BN52">
        <v>6.2</v>
      </c>
      <c r="BO52">
        <v>18.8</v>
      </c>
      <c r="BP52">
        <v>13.8</v>
      </c>
      <c r="BQ52">
        <v>10.7</v>
      </c>
      <c r="BR52">
        <v>8.1999999999999993</v>
      </c>
      <c r="BS52">
        <v>16.899999999999999</v>
      </c>
      <c r="BT52">
        <v>196.6</v>
      </c>
      <c r="BU52">
        <v>265.7</v>
      </c>
      <c r="BV52">
        <v>66.400000000000006</v>
      </c>
    </row>
    <row r="53" spans="56:74" x14ac:dyDescent="0.3">
      <c r="BD53" t="s">
        <v>176</v>
      </c>
      <c r="BE53" t="s">
        <v>146</v>
      </c>
      <c r="BF53" t="s">
        <v>166</v>
      </c>
      <c r="BG53">
        <v>4</v>
      </c>
      <c r="BH53">
        <v>3.5</v>
      </c>
      <c r="BI53">
        <v>2.0099999999999998</v>
      </c>
      <c r="BJ53">
        <v>2.61</v>
      </c>
      <c r="BK53">
        <v>0.9</v>
      </c>
      <c r="BL53">
        <v>1.3</v>
      </c>
      <c r="BM53">
        <v>1.3</v>
      </c>
      <c r="BN53">
        <v>0.5</v>
      </c>
      <c r="BO53">
        <v>16.27</v>
      </c>
      <c r="BP53">
        <v>9.23</v>
      </c>
      <c r="BQ53">
        <v>11.73</v>
      </c>
      <c r="BR53">
        <v>12.9</v>
      </c>
      <c r="BS53">
        <v>23.106000000000002</v>
      </c>
      <c r="BT53">
        <v>39.215699999999998</v>
      </c>
      <c r="BU53">
        <v>59.331299999999999</v>
      </c>
      <c r="BV53">
        <v>0</v>
      </c>
    </row>
    <row r="54" spans="56:74" x14ac:dyDescent="0.3">
      <c r="BD54" t="s">
        <v>176</v>
      </c>
      <c r="BE54" t="s">
        <v>146</v>
      </c>
      <c r="BF54" t="s">
        <v>163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</v>
      </c>
      <c r="BO54">
        <v>0.3</v>
      </c>
      <c r="BP54">
        <v>0.3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56:74" x14ac:dyDescent="0.3">
      <c r="BD55" t="s">
        <v>177</v>
      </c>
      <c r="BE55" t="s">
        <v>178</v>
      </c>
      <c r="BF55" t="s">
        <v>163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6.2E-2</v>
      </c>
      <c r="BU55">
        <v>1.272</v>
      </c>
      <c r="BV55">
        <v>0</v>
      </c>
    </row>
    <row r="56" spans="56:74" x14ac:dyDescent="0.3">
      <c r="BD56" t="s">
        <v>177</v>
      </c>
      <c r="BE56" t="s">
        <v>178</v>
      </c>
      <c r="BF56" t="s">
        <v>179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</row>
    <row r="57" spans="56:74" x14ac:dyDescent="0.3">
      <c r="BD57" t="s">
        <v>180</v>
      </c>
      <c r="BE57" t="s">
        <v>181</v>
      </c>
      <c r="BF57" t="s">
        <v>163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4.5999999999999996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3.0000000000000001E-3</v>
      </c>
      <c r="BV57">
        <v>0</v>
      </c>
    </row>
    <row r="58" spans="56:74" x14ac:dyDescent="0.3">
      <c r="BD58" t="s">
        <v>182</v>
      </c>
      <c r="BE58" t="s">
        <v>149</v>
      </c>
      <c r="BF58" t="s">
        <v>163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18</v>
      </c>
      <c r="BP58">
        <v>0</v>
      </c>
      <c r="BQ58">
        <v>0.1</v>
      </c>
      <c r="BR58">
        <v>0</v>
      </c>
      <c r="BS58">
        <v>0.10299999999999999</v>
      </c>
      <c r="BT58">
        <v>2E-3</v>
      </c>
      <c r="BU58">
        <v>0</v>
      </c>
      <c r="BV58">
        <v>0</v>
      </c>
    </row>
    <row r="59" spans="56:74" x14ac:dyDescent="0.3">
      <c r="BD59" t="s">
        <v>183</v>
      </c>
      <c r="BE59" t="s">
        <v>184</v>
      </c>
      <c r="BF59" t="s">
        <v>163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0.1</v>
      </c>
      <c r="BQ59">
        <v>0.3</v>
      </c>
      <c r="BR59">
        <v>0</v>
      </c>
      <c r="BS59">
        <v>0</v>
      </c>
      <c r="BT59">
        <v>0</v>
      </c>
      <c r="BU59">
        <v>0</v>
      </c>
      <c r="BV59">
        <v>0</v>
      </c>
    </row>
    <row r="60" spans="56:74" x14ac:dyDescent="0.3">
      <c r="BD60" t="s">
        <v>185</v>
      </c>
      <c r="BE60" t="s">
        <v>154</v>
      </c>
      <c r="BF60" t="s">
        <v>160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5.9</v>
      </c>
      <c r="BT60">
        <v>0</v>
      </c>
      <c r="BU60">
        <v>0</v>
      </c>
      <c r="BV60">
        <v>0</v>
      </c>
    </row>
    <row r="61" spans="56:74" x14ac:dyDescent="0.3">
      <c r="BD61" t="s">
        <v>185</v>
      </c>
      <c r="BE61" t="s">
        <v>154</v>
      </c>
      <c r="BF61" t="s">
        <v>186</v>
      </c>
      <c r="BG61">
        <v>0.01</v>
      </c>
      <c r="BH61">
        <v>0.1</v>
      </c>
      <c r="BI61">
        <v>0</v>
      </c>
      <c r="BJ61">
        <v>0.01</v>
      </c>
      <c r="BK61">
        <v>0</v>
      </c>
      <c r="BL61">
        <v>0.03</v>
      </c>
      <c r="BM61">
        <v>0.08</v>
      </c>
      <c r="BN61">
        <v>0.01</v>
      </c>
      <c r="BO61">
        <v>0.31</v>
      </c>
      <c r="BP61">
        <v>0.75</v>
      </c>
      <c r="BQ61">
        <v>0.41</v>
      </c>
      <c r="BR61">
        <v>0.68</v>
      </c>
      <c r="BS61">
        <v>0</v>
      </c>
      <c r="BT61">
        <v>0</v>
      </c>
      <c r="BU61">
        <v>10.404999999999999</v>
      </c>
      <c r="BV61">
        <v>14</v>
      </c>
    </row>
    <row r="62" spans="56:74" x14ac:dyDescent="0.3">
      <c r="BD62" t="s">
        <v>185</v>
      </c>
      <c r="BE62" t="s">
        <v>154</v>
      </c>
      <c r="BF62" t="s">
        <v>158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</row>
    <row r="63" spans="56:74" x14ac:dyDescent="0.3">
      <c r="BD63" t="s">
        <v>185</v>
      </c>
      <c r="BE63" t="s">
        <v>154</v>
      </c>
      <c r="BF63" t="s">
        <v>163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76.5</v>
      </c>
      <c r="BP63">
        <v>52.6</v>
      </c>
      <c r="BQ63">
        <v>147.5</v>
      </c>
      <c r="BR63">
        <v>96.18</v>
      </c>
      <c r="BS63">
        <v>148.541</v>
      </c>
      <c r="BT63">
        <v>192.751</v>
      </c>
      <c r="BU63">
        <v>393.666</v>
      </c>
      <c r="BV63">
        <v>291.15899999999999</v>
      </c>
    </row>
    <row r="64" spans="56:74" x14ac:dyDescent="0.3">
      <c r="BD64" t="s">
        <v>187</v>
      </c>
      <c r="BE64" t="s">
        <v>188</v>
      </c>
      <c r="BF64" t="s">
        <v>160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0.1</v>
      </c>
      <c r="BS64">
        <v>2.2000000000000002</v>
      </c>
      <c r="BT64">
        <v>0.2</v>
      </c>
      <c r="BU64">
        <v>0</v>
      </c>
      <c r="BV64">
        <v>0</v>
      </c>
    </row>
    <row r="65" spans="56:74" x14ac:dyDescent="0.3">
      <c r="BD65" t="s">
        <v>187</v>
      </c>
      <c r="BE65" t="s">
        <v>188</v>
      </c>
      <c r="BF65" t="s">
        <v>163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</v>
      </c>
      <c r="BM65">
        <v>2</v>
      </c>
      <c r="BN65">
        <v>3</v>
      </c>
      <c r="BO65">
        <v>116.5</v>
      </c>
      <c r="BP65">
        <v>28.9</v>
      </c>
      <c r="BQ65">
        <v>79.400000000000006</v>
      </c>
      <c r="BR65">
        <v>30.06</v>
      </c>
      <c r="BS65">
        <v>30.446999999999999</v>
      </c>
      <c r="BT65">
        <v>42.561999999999998</v>
      </c>
      <c r="BU65">
        <v>82.242999999999995</v>
      </c>
      <c r="BV65">
        <v>36.340000000000003</v>
      </c>
    </row>
    <row r="66" spans="56:74" x14ac:dyDescent="0.3">
      <c r="BD66" t="s">
        <v>189</v>
      </c>
      <c r="BE66" t="s">
        <v>153</v>
      </c>
      <c r="BF66" t="s">
        <v>186</v>
      </c>
      <c r="BG66">
        <v>0.7</v>
      </c>
      <c r="BH66">
        <v>0.4</v>
      </c>
      <c r="BI66">
        <v>0</v>
      </c>
      <c r="BJ66">
        <v>0.1</v>
      </c>
      <c r="BK66">
        <v>0</v>
      </c>
      <c r="BL66">
        <v>0.03</v>
      </c>
      <c r="BM66">
        <v>0.01</v>
      </c>
      <c r="BN66">
        <v>0.02</v>
      </c>
      <c r="BO66">
        <v>0.09</v>
      </c>
      <c r="BP66">
        <v>0.82</v>
      </c>
      <c r="BQ66">
        <v>0.4</v>
      </c>
      <c r="BR66">
        <v>0.21</v>
      </c>
      <c r="BS66">
        <v>0</v>
      </c>
      <c r="BT66">
        <v>1</v>
      </c>
      <c r="BU66">
        <v>0</v>
      </c>
      <c r="BV66">
        <v>0</v>
      </c>
    </row>
    <row r="67" spans="56:74" x14ac:dyDescent="0.3">
      <c r="BD67" t="s">
        <v>189</v>
      </c>
      <c r="BE67" t="s">
        <v>153</v>
      </c>
      <c r="BF67" t="s">
        <v>162</v>
      </c>
      <c r="BG67">
        <v>116.6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0.02</v>
      </c>
      <c r="BN67">
        <v>0</v>
      </c>
      <c r="BO67">
        <v>0.24</v>
      </c>
      <c r="BP67">
        <v>0.75</v>
      </c>
      <c r="BQ67">
        <v>0.14000000000000001</v>
      </c>
      <c r="BR67">
        <v>1.1200000000000001</v>
      </c>
      <c r="BS67">
        <v>0.95</v>
      </c>
      <c r="BT67">
        <v>0.17</v>
      </c>
      <c r="BU67">
        <v>0</v>
      </c>
      <c r="BV67">
        <v>0</v>
      </c>
    </row>
    <row r="68" spans="56:74" x14ac:dyDescent="0.3">
      <c r="BD68" t="s">
        <v>189</v>
      </c>
      <c r="BE68" t="s">
        <v>153</v>
      </c>
      <c r="BF68" t="s">
        <v>166</v>
      </c>
      <c r="BG68">
        <v>0.01</v>
      </c>
      <c r="BH68">
        <v>0</v>
      </c>
      <c r="BI68">
        <v>0</v>
      </c>
      <c r="BJ68">
        <v>0</v>
      </c>
      <c r="BK68">
        <v>0.1</v>
      </c>
      <c r="BL68">
        <v>0.05</v>
      </c>
      <c r="BM68">
        <v>0</v>
      </c>
      <c r="BN68">
        <v>3.55</v>
      </c>
      <c r="BO68">
        <v>0.03</v>
      </c>
      <c r="BP68">
        <v>0</v>
      </c>
      <c r="BQ68">
        <v>3.21</v>
      </c>
      <c r="BR68">
        <v>4.2300000000000004</v>
      </c>
      <c r="BS68">
        <v>1.3460000000000001</v>
      </c>
      <c r="BT68">
        <v>184.3947</v>
      </c>
      <c r="BU68">
        <v>167.6542</v>
      </c>
      <c r="BV68">
        <v>0</v>
      </c>
    </row>
    <row r="69" spans="56:74" x14ac:dyDescent="0.3">
      <c r="BD69" t="s">
        <v>189</v>
      </c>
      <c r="BE69" t="s">
        <v>153</v>
      </c>
      <c r="BF69" t="s">
        <v>163</v>
      </c>
      <c r="BG69">
        <v>27</v>
      </c>
      <c r="BH69">
        <v>83</v>
      </c>
      <c r="BI69">
        <v>77</v>
      </c>
      <c r="BJ69">
        <v>86</v>
      </c>
      <c r="BK69">
        <v>53</v>
      </c>
      <c r="BL69">
        <v>40</v>
      </c>
      <c r="BM69">
        <v>40</v>
      </c>
      <c r="BN69">
        <v>51</v>
      </c>
      <c r="BO69">
        <v>9.9</v>
      </c>
      <c r="BP69">
        <v>0.1</v>
      </c>
      <c r="BQ69">
        <v>0</v>
      </c>
      <c r="BR69">
        <v>0</v>
      </c>
      <c r="BS69">
        <v>0</v>
      </c>
      <c r="BT69">
        <v>4.0000000000000001E-3</v>
      </c>
      <c r="BU69">
        <v>0.106</v>
      </c>
      <c r="BV69">
        <v>8.9999999999999993E-3</v>
      </c>
    </row>
    <row r="70" spans="56:74" x14ac:dyDescent="0.3">
      <c r="BD70" t="s">
        <v>190</v>
      </c>
      <c r="BE70" t="s">
        <v>152</v>
      </c>
      <c r="BF70" t="s">
        <v>160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0.2</v>
      </c>
      <c r="BS70">
        <v>1</v>
      </c>
      <c r="BT70">
        <v>24.8</v>
      </c>
      <c r="BU70">
        <v>0</v>
      </c>
      <c r="BV70">
        <v>0.6</v>
      </c>
    </row>
    <row r="71" spans="56:74" x14ac:dyDescent="0.3">
      <c r="BD71" t="s">
        <v>190</v>
      </c>
      <c r="BE71" t="s">
        <v>152</v>
      </c>
      <c r="BF71" t="s">
        <v>162</v>
      </c>
      <c r="BG71">
        <v>0</v>
      </c>
      <c r="BH71">
        <v>97.7</v>
      </c>
      <c r="BI71">
        <v>92.8</v>
      </c>
      <c r="BJ71">
        <v>414</v>
      </c>
      <c r="BK71">
        <v>125.4</v>
      </c>
      <c r="BL71">
        <v>107.66</v>
      </c>
      <c r="BM71">
        <v>57.16</v>
      </c>
      <c r="BN71">
        <v>50.56</v>
      </c>
      <c r="BO71">
        <v>641.22</v>
      </c>
      <c r="BP71">
        <v>130.08000000000001</v>
      </c>
      <c r="BQ71">
        <v>434.48</v>
      </c>
      <c r="BR71">
        <v>228.27</v>
      </c>
      <c r="BS71">
        <v>471.601</v>
      </c>
      <c r="BT71">
        <v>501.22899999999998</v>
      </c>
      <c r="BU71">
        <v>520.11099999999999</v>
      </c>
      <c r="BV71">
        <v>130.727</v>
      </c>
    </row>
    <row r="72" spans="56:74" x14ac:dyDescent="0.3">
      <c r="BG72">
        <f>SUM(BG35:BG71)</f>
        <v>600.34999999999991</v>
      </c>
      <c r="BH72">
        <f>SUM(BH35:BH71)</f>
        <v>495.51</v>
      </c>
      <c r="BI72">
        <f>SUM(BI35:BI71)</f>
        <v>444.03999999999991</v>
      </c>
      <c r="BJ72">
        <f>SUM(BJ35:BJ71)</f>
        <v>711.14</v>
      </c>
      <c r="BK72">
        <f>SUM(BK35:BK71)</f>
        <v>477.0100000000001</v>
      </c>
      <c r="BL72">
        <f>SUM(BL35:BL71)</f>
        <v>249.79</v>
      </c>
      <c r="BM72">
        <f>SUM(BM35:BM71)</f>
        <v>390.80999999999995</v>
      </c>
      <c r="BN72">
        <f>SUM(BN35:BN71)</f>
        <v>380.65999999999997</v>
      </c>
      <c r="BO72">
        <f>SUM(BO35:BO71)</f>
        <v>1182.1600000000001</v>
      </c>
      <c r="BP72">
        <f>SUM(BP35:BP71)</f>
        <v>491.85000000000014</v>
      </c>
      <c r="BQ72">
        <f>SUM(BQ35:BQ71)</f>
        <v>1047.19</v>
      </c>
      <c r="BR72">
        <f>SUM(BR35:BR71)</f>
        <v>532.22</v>
      </c>
      <c r="BS72">
        <f>SUM(BS35:BS71)</f>
        <v>972.91699999999992</v>
      </c>
      <c r="BT72">
        <f>SUM(BT35:BT71)</f>
        <v>1772.1998999999998</v>
      </c>
      <c r="BU72">
        <f>SUM(BU35:BU71)</f>
        <v>1991.2710999999999</v>
      </c>
      <c r="BV72">
        <f>SUM(BV35:BV71)</f>
        <v>818.64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D0F5E9-8FB6-462B-A594-E0A4FFA67D0D}"/>
</file>

<file path=customXml/itemProps2.xml><?xml version="1.0" encoding="utf-8"?>
<ds:datastoreItem xmlns:ds="http://schemas.openxmlformats.org/officeDocument/2006/customXml" ds:itemID="{C2A4F06E-4BEA-434A-B201-E82FBE3350BC}"/>
</file>

<file path=customXml/itemProps3.xml><?xml version="1.0" encoding="utf-8"?>
<ds:datastoreItem xmlns:ds="http://schemas.openxmlformats.org/officeDocument/2006/customXml" ds:itemID="{364ADCF7-82C5-4854-B407-2A2776C4A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time series total catch</vt:lpstr>
      <vt:lpstr>Dab correction</vt:lpstr>
      <vt:lpstr>Other flatfish correction</vt:lpstr>
      <vt:lpstr>Other gadoid correction</vt:lpstr>
      <vt:lpstr>Pelagic fish</vt:lpstr>
      <vt:lpstr>Data from R</vt:lpstr>
      <vt:lpstr>Demersal fish</vt:lpstr>
      <vt:lpstr>Squid&amp;cuttlefish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2015-06-05T18:17:20Z</dcterms:created>
  <dcterms:modified xsi:type="dcterms:W3CDTF">2024-10-17T13:27:10Z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