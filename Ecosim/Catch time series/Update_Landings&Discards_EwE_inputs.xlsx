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dries_lorre_ugent_be/Documents/Documents/PhD/EwE/Data_processing_R/CatchTimeSeries/"/>
    </mc:Choice>
  </mc:AlternateContent>
  <xr:revisionPtr revIDLastSave="512" documentId="11_F25DC773A252ABDACC10484E91DC63BC5BDE58EF" xr6:coauthVersionLast="47" xr6:coauthVersionMax="47" xr10:uidLastSave="{7EC02DAF-CAD9-4119-8DCB-E7AABF05BF86}"/>
  <bookViews>
    <workbookView xWindow="28680" yWindow="-120" windowWidth="16440" windowHeight="2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9" i="1" l="1"/>
  <c r="X82" i="1"/>
  <c r="R89" i="1"/>
  <c r="S81" i="1"/>
  <c r="X81" i="1"/>
  <c r="T68" i="1"/>
  <c r="S80" i="1"/>
  <c r="X80" i="1"/>
  <c r="T75" i="1"/>
  <c r="W75" i="1"/>
  <c r="W74" i="1"/>
  <c r="S82" i="1"/>
  <c r="H75" i="1"/>
  <c r="J75" i="1"/>
  <c r="F75" i="1"/>
  <c r="S43" i="1"/>
  <c r="M47" i="1"/>
  <c r="M75" i="1" s="1"/>
  <c r="N47" i="1"/>
  <c r="O47" i="1"/>
  <c r="P47" i="1"/>
  <c r="P75" i="1" s="1"/>
  <c r="Q47" i="1"/>
  <c r="Q75" i="1" s="1"/>
  <c r="D47" i="1"/>
  <c r="D75" i="1" s="1"/>
  <c r="E47" i="1"/>
  <c r="E75" i="1" s="1"/>
  <c r="F47" i="1"/>
  <c r="G47" i="1"/>
  <c r="G75" i="1" s="1"/>
  <c r="H47" i="1"/>
  <c r="I47" i="1"/>
  <c r="I75" i="1" s="1"/>
  <c r="J47" i="1"/>
  <c r="K47" i="1"/>
  <c r="K75" i="1" s="1"/>
  <c r="L47" i="1"/>
  <c r="L75" i="1" s="1"/>
  <c r="C47" i="1"/>
  <c r="R90" i="1"/>
  <c r="S34" i="1"/>
  <c r="X68" i="1"/>
  <c r="Q68" i="1"/>
  <c r="H68" i="1"/>
  <c r="X69" i="1"/>
  <c r="S67" i="1"/>
  <c r="D25" i="1"/>
  <c r="D68" i="1" s="1"/>
  <c r="E25" i="1"/>
  <c r="E68" i="1" s="1"/>
  <c r="F25" i="1"/>
  <c r="F68" i="1" s="1"/>
  <c r="G25" i="1"/>
  <c r="G68" i="1" s="1"/>
  <c r="H25" i="1"/>
  <c r="I25" i="1"/>
  <c r="I68" i="1" s="1"/>
  <c r="J25" i="1"/>
  <c r="J68" i="1" s="1"/>
  <c r="K25" i="1"/>
  <c r="K68" i="1" s="1"/>
  <c r="L25" i="1"/>
  <c r="L68" i="1" s="1"/>
  <c r="M25" i="1"/>
  <c r="M68" i="1" s="1"/>
  <c r="N25" i="1"/>
  <c r="N68" i="1" s="1"/>
  <c r="O25" i="1"/>
  <c r="O68" i="1" s="1"/>
  <c r="P25" i="1"/>
  <c r="P68" i="1" s="1"/>
  <c r="Q25" i="1"/>
  <c r="C25" i="1"/>
  <c r="C68" i="1" s="1"/>
  <c r="S12" i="1"/>
  <c r="W76" i="1"/>
  <c r="S78" i="1"/>
  <c r="S77" i="1"/>
  <c r="S74" i="1"/>
  <c r="R88" i="1" s="1"/>
  <c r="S70" i="1"/>
  <c r="X70" i="1" s="1"/>
  <c r="S71" i="1"/>
  <c r="X71" i="1" s="1"/>
  <c r="C46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S50" i="1" s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S46" i="1" s="1"/>
  <c r="D46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C28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C27" i="1"/>
  <c r="C24" i="1"/>
  <c r="P24" i="1"/>
  <c r="Q24" i="1"/>
  <c r="K24" i="1"/>
  <c r="L24" i="1"/>
  <c r="M24" i="1"/>
  <c r="N24" i="1"/>
  <c r="O24" i="1"/>
  <c r="D24" i="1"/>
  <c r="E24" i="1"/>
  <c r="F24" i="1"/>
  <c r="G24" i="1"/>
  <c r="H24" i="1"/>
  <c r="I24" i="1"/>
  <c r="J24" i="1"/>
  <c r="S42" i="1"/>
  <c r="S41" i="1"/>
  <c r="S40" i="1"/>
  <c r="S37" i="1"/>
  <c r="S36" i="1"/>
  <c r="S35" i="1"/>
  <c r="S33" i="1"/>
  <c r="S21" i="1"/>
  <c r="S20" i="1"/>
  <c r="S19" i="1"/>
  <c r="S18" i="1"/>
  <c r="S13" i="1"/>
  <c r="S14" i="1"/>
  <c r="S15" i="1"/>
  <c r="S11" i="1"/>
  <c r="O75" i="1" l="1"/>
  <c r="X67" i="1"/>
  <c r="N75" i="1"/>
  <c r="S49" i="1"/>
  <c r="S47" i="1"/>
  <c r="S25" i="1"/>
  <c r="C75" i="1"/>
  <c r="R91" i="1"/>
  <c r="W77" i="1" s="1"/>
  <c r="X83" i="1" s="1"/>
  <c r="R92" i="1"/>
  <c r="W78" i="1" s="1"/>
  <c r="X84" i="1" s="1"/>
  <c r="S84" i="1"/>
  <c r="S83" i="1"/>
</calcChain>
</file>

<file path=xl/sharedStrings.xml><?xml version="1.0" encoding="utf-8"?>
<sst xmlns="http://schemas.openxmlformats.org/spreadsheetml/2006/main" count="101" uniqueCount="30">
  <si>
    <t>Other gadoids</t>
  </si>
  <si>
    <t>Sprat</t>
  </si>
  <si>
    <t>Dab</t>
  </si>
  <si>
    <t>Other flatfish</t>
  </si>
  <si>
    <t>Total</t>
  </si>
  <si>
    <t>LANDINGS</t>
  </si>
  <si>
    <t>DISCARDS</t>
  </si>
  <si>
    <t>OG</t>
  </si>
  <si>
    <t>NEW</t>
  </si>
  <si>
    <t>OtherGadoids_C_abs</t>
  </si>
  <si>
    <t>Dab_C_abs</t>
  </si>
  <si>
    <t>OtherFlatfish_C_abs</t>
  </si>
  <si>
    <t>Total copied</t>
  </si>
  <si>
    <t>Total calculated</t>
  </si>
  <si>
    <t>/(1-x)</t>
  </si>
  <si>
    <t>--&gt;</t>
  </si>
  <si>
    <t>NEW CALCULATED</t>
  </si>
  <si>
    <t>Sprat_C_abs</t>
  </si>
  <si>
    <t>Controle: model versus tijdseries</t>
  </si>
  <si>
    <t>model</t>
  </si>
  <si>
    <t>TS</t>
  </si>
  <si>
    <t>tijd series</t>
  </si>
  <si>
    <t>Landings TS + calculated discards</t>
  </si>
  <si>
    <t>--&gt; corrected in time series!</t>
  </si>
  <si>
    <t>Demersal fish</t>
  </si>
  <si>
    <t>ok</t>
  </si>
  <si>
    <t>adjust model by multiplying with this value</t>
  </si>
  <si>
    <t>Discard proportion new</t>
  </si>
  <si>
    <t>P/B 1,5 --&gt; 1,7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</si>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</sst>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2" fillId="0" borderId="0" xfId="0" applyFont="1"/>
    <xf numFmtId="11" fontId="2" fillId="0" borderId="0" xfId="0" applyNumberFormat="1" applyFont="1"/>
    <xf numFmtId="0" fontId="0" fillId="2" borderId="0" xfId="0" applyFill="1"/>
    <xf numFmtId="0" fontId="1" fillId="2" borderId="0" xfId="0" applyFont="1" applyFill="1"/>
    <xf numFmtId="0" fontId="0" fillId="0" borderId="0" xfId="0" quotePrefix="1"/>
    <xf numFmtId="0" fontId="0" fillId="3" borderId="0" xfId="0" applyFill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22860</xdr:rowOff>
    </xdr:from>
    <xdr:to>
      <xdr:col>17</xdr:col>
      <xdr:colOff>205740</xdr:colOff>
      <xdr:row>7</xdr:row>
      <xdr:rowOff>171487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83BA6-E428-A36E-B7A0-573DCBB6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2860"/>
          <a:ext cx="11209019" cy="1417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94"/>
  <sheetViews>
    <sheetView tabSelected="1" topLeftCell="L25" zoomScaleNormal="100" workbookViewId="0">
      <selection activeCell="T58" sqref="T58"/>
    </sheetView>
  </sheetViews>
  <sheetFormatPr defaultRowHeight="14.4" x14ac:dyDescent="0.3"/>
  <cols>
    <col min="1" max="1" width="10.5546875" customWidth="1"/>
    <col min="2" max="2" width="16.5546875" bestFit="1" customWidth="1"/>
    <col min="18" max="18" width="13.21875" bestFit="1" customWidth="1"/>
    <col min="19" max="19" width="17.21875" bestFit="1" customWidth="1"/>
  </cols>
  <sheetData>
    <row r="3" spans="1:22" x14ac:dyDescent="0.3">
      <c r="S3" s="5">
        <v>0.55583814323440006</v>
      </c>
      <c r="T3" s="6" t="s">
        <v>15</v>
      </c>
      <c r="U3" s="6" t="s">
        <v>14</v>
      </c>
      <c r="V3" t="s">
        <v>3</v>
      </c>
    </row>
    <row r="5" spans="1:22" x14ac:dyDescent="0.3">
      <c r="S5" s="5">
        <v>0.58794331946223588</v>
      </c>
      <c r="T5" s="6" t="s">
        <v>15</v>
      </c>
      <c r="U5" s="6" t="s">
        <v>14</v>
      </c>
      <c r="V5" t="s">
        <v>0</v>
      </c>
    </row>
    <row r="7" spans="1:22" x14ac:dyDescent="0.3">
      <c r="S7" s="5">
        <v>0.85848979847994988</v>
      </c>
      <c r="T7" s="6" t="s">
        <v>15</v>
      </c>
      <c r="U7" s="6" t="s">
        <v>14</v>
      </c>
      <c r="V7" t="s">
        <v>2</v>
      </c>
    </row>
    <row r="9" spans="1:22" x14ac:dyDescent="0.3">
      <c r="B9" t="s">
        <v>24</v>
      </c>
      <c r="M9" t="s">
        <v>28</v>
      </c>
    </row>
    <row r="10" spans="1:22" x14ac:dyDescent="0.3">
      <c r="A10" t="s">
        <v>5</v>
      </c>
      <c r="B10" t="s">
        <v>7</v>
      </c>
      <c r="R10" t="s">
        <v>12</v>
      </c>
      <c r="S10" t="s">
        <v>13</v>
      </c>
    </row>
    <row r="11" spans="1:22" x14ac:dyDescent="0.3">
      <c r="A11">
        <v>11</v>
      </c>
      <c r="B11" s="8" t="s">
        <v>0</v>
      </c>
      <c r="C11">
        <v>0</v>
      </c>
      <c r="D11">
        <v>1.8400000000000001E-3</v>
      </c>
      <c r="E11">
        <v>1.56E-3</v>
      </c>
      <c r="F11">
        <v>7.5399999999999998E-3</v>
      </c>
      <c r="G11">
        <v>0</v>
      </c>
      <c r="H11">
        <v>0</v>
      </c>
      <c r="I11">
        <v>0</v>
      </c>
      <c r="J11" s="1">
        <v>9.9699999999999994E-6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1.094997E-2</v>
      </c>
      <c r="S11">
        <f>SUM(C11:Q11)</f>
        <v>1.094997E-2</v>
      </c>
    </row>
    <row r="12" spans="1:22" x14ac:dyDescent="0.3">
      <c r="A12">
        <v>12</v>
      </c>
      <c r="B12" s="8" t="s">
        <v>24</v>
      </c>
      <c r="C12">
        <v>0</v>
      </c>
      <c r="D12">
        <v>4.4900000000000001E-3</v>
      </c>
      <c r="E12">
        <v>4.1000000000000003E-3</v>
      </c>
      <c r="F12">
        <v>4.4900000000000001E-3</v>
      </c>
      <c r="G12" s="1">
        <v>4.5899999999999998E-5</v>
      </c>
      <c r="H12">
        <v>0</v>
      </c>
      <c r="I12" s="1">
        <v>9.9199999999999999E-5</v>
      </c>
      <c r="J12" s="1">
        <v>9.3000000000000005E-4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1.41551E-2</v>
      </c>
      <c r="S12">
        <f>SUM(C12:Q12)</f>
        <v>1.4155100000000002E-2</v>
      </c>
    </row>
    <row r="13" spans="1:22" x14ac:dyDescent="0.3">
      <c r="A13">
        <v>15</v>
      </c>
      <c r="B13" s="8" t="s">
        <v>1</v>
      </c>
      <c r="C13" s="1">
        <v>6.2500000000000001E-5</v>
      </c>
      <c r="D13">
        <v>1.9900000000000001E-2</v>
      </c>
      <c r="E13">
        <v>1.85E-4</v>
      </c>
      <c r="F13" s="1">
        <v>4.5699999999999999E-8</v>
      </c>
      <c r="G13" s="1">
        <v>4.95E-6</v>
      </c>
      <c r="H13">
        <v>2.3400000000000001E-2</v>
      </c>
      <c r="I13">
        <v>0</v>
      </c>
      <c r="J13" s="1">
        <v>1.75E-6</v>
      </c>
      <c r="K13" s="1">
        <v>7.3E-7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4.355498E-2</v>
      </c>
      <c r="S13">
        <f t="shared" ref="S13:S15" si="0">SUM(C13:Q13)</f>
        <v>4.3554975699999998E-2</v>
      </c>
    </row>
    <row r="14" spans="1:22" x14ac:dyDescent="0.3">
      <c r="A14">
        <v>21</v>
      </c>
      <c r="B14" s="8" t="s">
        <v>2</v>
      </c>
      <c r="C14" s="1">
        <v>2.1699999999999999E-8</v>
      </c>
      <c r="D14">
        <v>1.9300000000000001E-3</v>
      </c>
      <c r="E14" s="1">
        <v>3.8600000000000003E-5</v>
      </c>
      <c r="F14">
        <v>7.0800000000000004E-3</v>
      </c>
      <c r="G14">
        <v>4.5899999999999999E-4</v>
      </c>
      <c r="H14" s="1">
        <v>2.12E-5</v>
      </c>
      <c r="I14">
        <v>0</v>
      </c>
      <c r="J14" s="1">
        <v>9.2200000000000002E-7</v>
      </c>
      <c r="K14" s="1">
        <v>1.44E-6</v>
      </c>
      <c r="L14">
        <v>0</v>
      </c>
      <c r="M14">
        <v>0</v>
      </c>
      <c r="N14" s="1">
        <v>9.9999999999999995E-21</v>
      </c>
      <c r="O14">
        <v>0</v>
      </c>
      <c r="P14" s="1">
        <v>9.9999999999999995E-21</v>
      </c>
      <c r="Q14">
        <v>0</v>
      </c>
      <c r="R14">
        <v>9.5311839999999998E-3</v>
      </c>
      <c r="S14">
        <f t="shared" si="0"/>
        <v>9.531183700000001E-3</v>
      </c>
    </row>
    <row r="15" spans="1:22" x14ac:dyDescent="0.3">
      <c r="A15">
        <v>22</v>
      </c>
      <c r="B15" s="8" t="s">
        <v>3</v>
      </c>
      <c r="C15" s="1">
        <v>1.61E-7</v>
      </c>
      <c r="D15">
        <v>1.14E-3</v>
      </c>
      <c r="E15">
        <v>5.2800000000000004E-4</v>
      </c>
      <c r="F15">
        <v>4.3799999999999999E-2</v>
      </c>
      <c r="G15" s="1">
        <v>6.2799999999999995E-5</v>
      </c>
      <c r="H15" s="1">
        <v>6.4500000000000001E-6</v>
      </c>
      <c r="I15">
        <v>0</v>
      </c>
      <c r="J15" s="1">
        <v>3.0300000000000001E-5</v>
      </c>
      <c r="K15" s="1">
        <v>9.7900000000000007E-7</v>
      </c>
      <c r="L15">
        <v>0</v>
      </c>
      <c r="M15">
        <v>0</v>
      </c>
      <c r="N15" s="1">
        <v>9.9999999999999995E-21</v>
      </c>
      <c r="O15">
        <v>0</v>
      </c>
      <c r="P15" s="1">
        <v>9.9999999999999995E-21</v>
      </c>
      <c r="Q15">
        <v>0</v>
      </c>
      <c r="R15">
        <v>4.5568690000000002E-2</v>
      </c>
      <c r="S15">
        <f t="shared" si="0"/>
        <v>4.5568689999999995E-2</v>
      </c>
    </row>
    <row r="17" spans="1:19" s="2" customFormat="1" x14ac:dyDescent="0.3">
      <c r="A17" s="2" t="s">
        <v>5</v>
      </c>
      <c r="B17" s="2" t="s">
        <v>8</v>
      </c>
      <c r="R17" s="2" t="s">
        <v>4</v>
      </c>
    </row>
    <row r="18" spans="1:19" s="2" customFormat="1" x14ac:dyDescent="0.3">
      <c r="A18" s="2">
        <v>11</v>
      </c>
      <c r="B18" s="2" t="s">
        <v>0</v>
      </c>
      <c r="C18" s="2">
        <v>0</v>
      </c>
      <c r="D18" s="2">
        <v>4.4654020000000003E-3</v>
      </c>
      <c r="E18" s="2">
        <v>3.7858840000000002E-3</v>
      </c>
      <c r="F18" s="2">
        <v>1.8298439999999999E-2</v>
      </c>
      <c r="G18" s="2">
        <v>0</v>
      </c>
      <c r="H18" s="2">
        <v>0</v>
      </c>
      <c r="I18" s="2">
        <v>0</v>
      </c>
      <c r="J18" s="3">
        <v>2.4199999999999999E-5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2.6573929999999999E-2</v>
      </c>
      <c r="S18" s="2">
        <f>SUM(C18:Q18)</f>
        <v>2.6573925999999998E-2</v>
      </c>
    </row>
    <row r="19" spans="1:19" s="2" customFormat="1" x14ac:dyDescent="0.3">
      <c r="A19" s="2">
        <v>15</v>
      </c>
      <c r="B19" s="2" t="s">
        <v>1</v>
      </c>
      <c r="C19" s="3">
        <v>6.2500000000000001E-5</v>
      </c>
      <c r="D19" s="2">
        <v>1.9900000000000001E-2</v>
      </c>
      <c r="E19" s="2">
        <v>1.85E-4</v>
      </c>
      <c r="F19" s="3">
        <v>4.5699999999999999E-8</v>
      </c>
      <c r="G19" s="3">
        <v>4.95E-6</v>
      </c>
      <c r="H19" s="2">
        <v>2.3400000000000001E-2</v>
      </c>
      <c r="I19" s="2">
        <v>0</v>
      </c>
      <c r="J19" s="3">
        <v>1.75E-6</v>
      </c>
      <c r="K19" s="3">
        <v>7.3E-7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4.355498E-2</v>
      </c>
      <c r="S19" s="2">
        <f t="shared" ref="S19:S21" si="1">SUM(C19:Q19)</f>
        <v>4.3554975699999998E-2</v>
      </c>
    </row>
    <row r="20" spans="1:19" s="2" customFormat="1" x14ac:dyDescent="0.3">
      <c r="A20" s="2">
        <v>21</v>
      </c>
      <c r="B20" s="2" t="s">
        <v>2</v>
      </c>
      <c r="C20" s="3">
        <v>1.5300000000000001E-7</v>
      </c>
      <c r="D20" s="2">
        <v>1.3638539999999999E-2</v>
      </c>
      <c r="E20" s="2">
        <v>2.7300000000000002E-4</v>
      </c>
      <c r="F20" s="2">
        <v>5.0031529999999998E-2</v>
      </c>
      <c r="G20" s="2">
        <v>3.243569E-3</v>
      </c>
      <c r="H20" s="2">
        <v>1.4999999999999999E-4</v>
      </c>
      <c r="I20" s="2">
        <v>0</v>
      </c>
      <c r="J20" s="3">
        <v>6.5200000000000003E-6</v>
      </c>
      <c r="K20" s="3">
        <v>1.0200000000000001E-5</v>
      </c>
      <c r="L20" s="2">
        <v>0</v>
      </c>
      <c r="M20" s="2">
        <v>0</v>
      </c>
      <c r="N20" s="3">
        <v>7.07E-20</v>
      </c>
      <c r="O20" s="2">
        <v>0</v>
      </c>
      <c r="P20" s="3">
        <v>7.07E-20</v>
      </c>
      <c r="Q20" s="2">
        <v>0</v>
      </c>
      <c r="R20" s="2">
        <v>6.7353510000000005E-2</v>
      </c>
      <c r="S20" s="2">
        <f t="shared" si="1"/>
        <v>6.735351199999999E-2</v>
      </c>
    </row>
    <row r="21" spans="1:19" s="2" customFormat="1" x14ac:dyDescent="0.3">
      <c r="A21" s="2">
        <v>22</v>
      </c>
      <c r="B21" s="2" t="s">
        <v>3</v>
      </c>
      <c r="C21" s="3">
        <v>3.6199999999999999E-7</v>
      </c>
      <c r="D21" s="2">
        <v>2.5666320000000001E-3</v>
      </c>
      <c r="E21" s="2">
        <v>1.188756E-3</v>
      </c>
      <c r="F21" s="2">
        <v>9.8612699999999998E-2</v>
      </c>
      <c r="G21" s="2">
        <v>1.4100000000000001E-4</v>
      </c>
      <c r="H21" s="3">
        <v>1.45E-5</v>
      </c>
      <c r="I21" s="2">
        <v>0</v>
      </c>
      <c r="J21" s="3">
        <v>6.8200000000000004E-5</v>
      </c>
      <c r="K21" s="3">
        <v>2.2000000000000001E-6</v>
      </c>
      <c r="L21" s="2">
        <v>0</v>
      </c>
      <c r="M21" s="2">
        <v>0</v>
      </c>
      <c r="N21" s="3">
        <v>2.2500000000000001E-20</v>
      </c>
      <c r="O21" s="2">
        <v>0</v>
      </c>
      <c r="P21" s="3">
        <v>2.2500000000000001E-20</v>
      </c>
      <c r="Q21" s="2">
        <v>0</v>
      </c>
      <c r="R21" s="2">
        <v>0.1025944</v>
      </c>
      <c r="S21" s="2">
        <f t="shared" si="1"/>
        <v>0.10259435</v>
      </c>
    </row>
    <row r="23" spans="1:19" x14ac:dyDescent="0.3">
      <c r="A23" t="s">
        <v>5</v>
      </c>
      <c r="B23" t="s">
        <v>16</v>
      </c>
    </row>
    <row r="24" spans="1:19" x14ac:dyDescent="0.3">
      <c r="B24" s="8" t="s">
        <v>0</v>
      </c>
      <c r="C24">
        <f t="shared" ref="C24:Q24" si="2">C11/(1-$A$57)</f>
        <v>0</v>
      </c>
      <c r="D24">
        <f t="shared" si="2"/>
        <v>4.4654050932960631E-3</v>
      </c>
      <c r="E24">
        <f t="shared" si="2"/>
        <v>3.7858869269249227E-3</v>
      </c>
      <c r="F24">
        <f t="shared" si="2"/>
        <v>1.8298453480137127E-2</v>
      </c>
      <c r="G24">
        <f t="shared" si="2"/>
        <v>0</v>
      </c>
      <c r="H24">
        <f t="shared" si="2"/>
        <v>0</v>
      </c>
      <c r="I24">
        <f t="shared" si="2"/>
        <v>0</v>
      </c>
      <c r="J24">
        <f t="shared" si="2"/>
        <v>2.4195700424000945E-5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0</v>
      </c>
      <c r="O24">
        <f t="shared" si="2"/>
        <v>0</v>
      </c>
      <c r="P24">
        <f t="shared" si="2"/>
        <v>0</v>
      </c>
      <c r="Q24">
        <f t="shared" si="2"/>
        <v>0</v>
      </c>
    </row>
    <row r="25" spans="1:19" x14ac:dyDescent="0.3">
      <c r="B25" s="8" t="s">
        <v>24</v>
      </c>
      <c r="C25">
        <f>C12/(1-$A$61)</f>
        <v>0</v>
      </c>
      <c r="D25">
        <f t="shared" ref="D25:Q25" si="3">D12/(1-$A$61)</f>
        <v>1.2461444361676921E-2</v>
      </c>
      <c r="E25">
        <f t="shared" si="3"/>
        <v>1.1379047189949972E-2</v>
      </c>
      <c r="F25">
        <f t="shared" si="3"/>
        <v>1.2461444361676921E-2</v>
      </c>
      <c r="G25">
        <f t="shared" si="3"/>
        <v>1.2738982098017162E-4</v>
      </c>
      <c r="H25">
        <f t="shared" si="3"/>
        <v>0</v>
      </c>
      <c r="I25">
        <f t="shared" si="3"/>
        <v>2.7531743444952125E-4</v>
      </c>
      <c r="J25">
        <f t="shared" si="3"/>
        <v>2.581100947964262E-3</v>
      </c>
      <c r="K25">
        <f t="shared" si="3"/>
        <v>0</v>
      </c>
      <c r="L25">
        <f t="shared" si="3"/>
        <v>0</v>
      </c>
      <c r="M25">
        <f t="shared" si="3"/>
        <v>0</v>
      </c>
      <c r="N25">
        <f t="shared" si="3"/>
        <v>0</v>
      </c>
      <c r="O25">
        <f t="shared" si="3"/>
        <v>0</v>
      </c>
      <c r="P25">
        <f t="shared" si="3"/>
        <v>0</v>
      </c>
      <c r="Q25">
        <f t="shared" si="3"/>
        <v>0</v>
      </c>
      <c r="S25">
        <f>SUM(C25:Q25)</f>
        <v>3.9285744116697774E-2</v>
      </c>
    </row>
    <row r="26" spans="1:19" x14ac:dyDescent="0.3">
      <c r="B26" s="8" t="s">
        <v>1</v>
      </c>
    </row>
    <row r="27" spans="1:19" x14ac:dyDescent="0.3">
      <c r="B27" s="8" t="s">
        <v>2</v>
      </c>
      <c r="C27" s="1">
        <f>C14/(1-$A$59)</f>
        <v>1.5334583490735412E-7</v>
      </c>
      <c r="D27" s="1">
        <f t="shared" ref="D27:Q27" si="4">D14/(1-$A$59)</f>
        <v>1.363859268991675E-2</v>
      </c>
      <c r="E27" s="1">
        <f t="shared" si="4"/>
        <v>2.7277185379833498E-4</v>
      </c>
      <c r="F27" s="1">
        <f t="shared" si="4"/>
        <v>5.0031728624150562E-2</v>
      </c>
      <c r="G27" s="1">
        <f t="shared" si="4"/>
        <v>3.2435824065656931E-3</v>
      </c>
      <c r="H27" s="1">
        <f t="shared" si="4"/>
        <v>1.4981252073898192E-4</v>
      </c>
      <c r="I27" s="1">
        <f t="shared" si="4"/>
        <v>0</v>
      </c>
      <c r="J27" s="1">
        <f t="shared" si="4"/>
        <v>6.5154313264783642E-6</v>
      </c>
      <c r="K27" s="1">
        <f t="shared" si="4"/>
        <v>1.0175944804911978E-5</v>
      </c>
      <c r="L27" s="1">
        <f t="shared" si="4"/>
        <v>0</v>
      </c>
      <c r="M27" s="1">
        <f t="shared" si="4"/>
        <v>0</v>
      </c>
      <c r="N27" s="1">
        <f t="shared" si="4"/>
        <v>7.0666283367444292E-20</v>
      </c>
      <c r="O27" s="1">
        <f t="shared" si="4"/>
        <v>0</v>
      </c>
      <c r="P27" s="1">
        <f t="shared" si="4"/>
        <v>7.0666283367444292E-20</v>
      </c>
      <c r="Q27" s="1">
        <f t="shared" si="4"/>
        <v>0</v>
      </c>
    </row>
    <row r="28" spans="1:19" x14ac:dyDescent="0.3">
      <c r="B28" s="8" t="s">
        <v>3</v>
      </c>
      <c r="C28" s="1">
        <f>C15/(1-$A$55)</f>
        <v>3.6248047315995754E-7</v>
      </c>
      <c r="D28" s="1">
        <f t="shared" ref="D28:Q28" si="5">D15/(1-$A$55)</f>
        <v>2.5666319217537365E-3</v>
      </c>
      <c r="E28" s="1">
        <f t="shared" si="5"/>
        <v>1.188755837443836E-3</v>
      </c>
      <c r="F28" s="1">
        <f t="shared" si="5"/>
        <v>9.8612700151590932E-2</v>
      </c>
      <c r="G28" s="1">
        <f t="shared" si="5"/>
        <v>1.4138989884748655E-4</v>
      </c>
      <c r="H28" s="1">
        <f t="shared" si="5"/>
        <v>1.4521733241501405E-5</v>
      </c>
      <c r="I28" s="1">
        <f t="shared" si="5"/>
        <v>0</v>
      </c>
      <c r="J28" s="1">
        <f t="shared" si="5"/>
        <v>6.8218374762401955E-5</v>
      </c>
      <c r="K28" s="1">
        <f t="shared" si="5"/>
        <v>2.2041514485937795E-6</v>
      </c>
      <c r="L28" s="1">
        <f t="shared" si="5"/>
        <v>0</v>
      </c>
      <c r="M28" s="1">
        <f t="shared" si="5"/>
        <v>0</v>
      </c>
      <c r="N28" s="1">
        <f t="shared" si="5"/>
        <v>2.2514315103102953E-20</v>
      </c>
      <c r="O28" s="1">
        <f t="shared" si="5"/>
        <v>0</v>
      </c>
      <c r="P28" s="1">
        <f t="shared" si="5"/>
        <v>2.2514315103102953E-20</v>
      </c>
      <c r="Q28" s="1">
        <f t="shared" si="5"/>
        <v>0</v>
      </c>
    </row>
    <row r="30" spans="1:19" s="7" customFormat="1" ht="4.8" customHeight="1" x14ac:dyDescent="0.3"/>
    <row r="32" spans="1:19" x14ac:dyDescent="0.3">
      <c r="A32" t="s">
        <v>6</v>
      </c>
      <c r="R32" t="s">
        <v>4</v>
      </c>
    </row>
    <row r="33" spans="1:19" x14ac:dyDescent="0.3">
      <c r="A33">
        <v>11</v>
      </c>
      <c r="B33" s="8" t="s">
        <v>0</v>
      </c>
      <c r="C33">
        <v>0</v>
      </c>
      <c r="D33">
        <v>1.013009E-3</v>
      </c>
      <c r="E33" s="1">
        <v>7.2200000000000007E-5</v>
      </c>
      <c r="F33">
        <v>1.7363490000000001E-3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2.8215580000000001E-3</v>
      </c>
      <c r="S33">
        <f>SUM(C33:Q33)</f>
        <v>2.8215580000000001E-3</v>
      </c>
    </row>
    <row r="34" spans="1:19" x14ac:dyDescent="0.3">
      <c r="A34">
        <v>12</v>
      </c>
      <c r="B34" s="8" t="s">
        <v>24</v>
      </c>
      <c r="C34">
        <v>0</v>
      </c>
      <c r="D34">
        <v>0.1226931</v>
      </c>
      <c r="E34" s="1">
        <v>3.1347800000000001E-4</v>
      </c>
      <c r="F34">
        <v>2.57471E-4</v>
      </c>
      <c r="G34" s="1">
        <v>3.1E-7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0.1232644</v>
      </c>
      <c r="S34">
        <f>SUM(C34:Q34)</f>
        <v>0.123264359</v>
      </c>
    </row>
    <row r="35" spans="1:19" x14ac:dyDescent="0.3">
      <c r="A35">
        <v>15</v>
      </c>
      <c r="B35" s="8" t="s">
        <v>1</v>
      </c>
      <c r="C35" s="1">
        <v>4.16E-12</v>
      </c>
      <c r="D35" s="1">
        <v>1.2599999999999999E-7</v>
      </c>
      <c r="E35" s="1">
        <v>9.8700000000000006E-11</v>
      </c>
      <c r="F35">
        <v>0</v>
      </c>
      <c r="G35" s="1">
        <v>6.1999999999999999E-6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1">
        <v>6.3261029999999998</v>
      </c>
      <c r="S35">
        <f t="shared" ref="S35:S37" si="6">SUM(C35:Q35)</f>
        <v>6.3261028600000001E-6</v>
      </c>
    </row>
    <row r="36" spans="1:19" x14ac:dyDescent="0.3">
      <c r="A36">
        <v>21</v>
      </c>
      <c r="B36" s="8" t="s">
        <v>2</v>
      </c>
      <c r="C36">
        <v>0</v>
      </c>
      <c r="D36">
        <v>1.6188988500000001E-2</v>
      </c>
      <c r="E36" s="1">
        <v>2.6400000000000001E-6</v>
      </c>
      <c r="F36">
        <v>3.9090960000000001E-2</v>
      </c>
      <c r="G36">
        <v>2.69184E-4</v>
      </c>
      <c r="H36" s="1">
        <v>1.43E-5</v>
      </c>
      <c r="I36">
        <v>0</v>
      </c>
      <c r="J36">
        <v>0</v>
      </c>
      <c r="K36">
        <v>0</v>
      </c>
      <c r="L36">
        <v>0</v>
      </c>
      <c r="M36">
        <v>0</v>
      </c>
      <c r="N36" s="1">
        <v>9.9999999999999995E-21</v>
      </c>
      <c r="O36">
        <v>0</v>
      </c>
      <c r="P36" s="1">
        <v>9.9999999999999995E-21</v>
      </c>
      <c r="Q36">
        <v>0</v>
      </c>
      <c r="R36">
        <v>5.5566079999999997E-2</v>
      </c>
      <c r="S36">
        <f t="shared" si="6"/>
        <v>5.5566072500000008E-2</v>
      </c>
    </row>
    <row r="37" spans="1:19" x14ac:dyDescent="0.3">
      <c r="A37">
        <v>22</v>
      </c>
      <c r="B37" s="8" t="s">
        <v>3</v>
      </c>
      <c r="C37" s="1">
        <v>2.7499999999999998E-9</v>
      </c>
      <c r="D37">
        <v>3.54452E-4</v>
      </c>
      <c r="E37" s="1">
        <v>6.1399999999999997E-6</v>
      </c>
      <c r="F37">
        <v>3.8152759999999998E-3</v>
      </c>
      <c r="G37" s="1">
        <v>3.8600000000000003E-6</v>
      </c>
      <c r="H37" s="1">
        <v>5.37E-7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9.9999999999999995E-21</v>
      </c>
      <c r="O37">
        <v>0</v>
      </c>
      <c r="P37" s="1">
        <v>9.9999999999999995E-21</v>
      </c>
      <c r="Q37">
        <v>0</v>
      </c>
      <c r="R37">
        <v>4.1802669999999997E-3</v>
      </c>
      <c r="S37">
        <f t="shared" si="6"/>
        <v>4.1802677499999993E-3</v>
      </c>
    </row>
    <row r="39" spans="1:19" s="2" customFormat="1" x14ac:dyDescent="0.3">
      <c r="A39" s="2" t="s">
        <v>6</v>
      </c>
      <c r="B39" s="2" t="s">
        <v>8</v>
      </c>
      <c r="R39" s="2" t="s">
        <v>4</v>
      </c>
    </row>
    <row r="40" spans="1:19" s="2" customFormat="1" x14ac:dyDescent="0.3">
      <c r="A40" s="2">
        <v>11</v>
      </c>
      <c r="B40" s="2" t="s">
        <v>0</v>
      </c>
      <c r="C40" s="2">
        <v>0</v>
      </c>
      <c r="D40" s="2">
        <v>2.4584199999999998E-3</v>
      </c>
      <c r="E40" s="2">
        <v>1.75E-4</v>
      </c>
      <c r="F40" s="2">
        <v>4.2138560000000002E-3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6.8472760000000002E-3</v>
      </c>
      <c r="S40" s="2">
        <f>SUM(C40:Q40)</f>
        <v>6.8472759999999994E-3</v>
      </c>
    </row>
    <row r="41" spans="1:19" s="2" customFormat="1" x14ac:dyDescent="0.3">
      <c r="A41" s="2">
        <v>15</v>
      </c>
      <c r="B41" s="2" t="s">
        <v>1</v>
      </c>
      <c r="C41" s="3">
        <v>4.16E-12</v>
      </c>
      <c r="D41" s="3">
        <v>1.2599999999999999E-7</v>
      </c>
      <c r="E41" s="3">
        <v>9.8700000000000006E-11</v>
      </c>
      <c r="F41" s="2">
        <v>0</v>
      </c>
      <c r="G41" s="3">
        <v>6.1999999999999999E-6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3">
        <v>6.3261029999999998</v>
      </c>
      <c r="S41" s="2">
        <f t="shared" ref="S41:S42" si="7">SUM(C41:Q41)</f>
        <v>6.3261028600000001E-6</v>
      </c>
    </row>
    <row r="42" spans="1:19" s="2" customFormat="1" x14ac:dyDescent="0.3">
      <c r="A42" s="2">
        <v>21</v>
      </c>
      <c r="B42" s="2" t="s">
        <v>2</v>
      </c>
      <c r="C42" s="2">
        <v>0</v>
      </c>
      <c r="D42" s="2">
        <v>0.11440110000000001</v>
      </c>
      <c r="E42" s="3">
        <v>1.8700000000000001E-5</v>
      </c>
      <c r="F42" s="2">
        <v>0.27624019999999999</v>
      </c>
      <c r="G42" s="2">
        <v>1.902216E-3</v>
      </c>
      <c r="H42" s="2">
        <v>1.01E-4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3">
        <v>7.07E-20</v>
      </c>
      <c r="O42" s="2">
        <v>0</v>
      </c>
      <c r="P42" s="3">
        <v>7.07E-20</v>
      </c>
      <c r="Q42" s="2">
        <v>0</v>
      </c>
      <c r="R42" s="2">
        <v>0.39266319999999999</v>
      </c>
      <c r="S42" s="2">
        <f t="shared" si="7"/>
        <v>0.39266321600000004</v>
      </c>
    </row>
    <row r="43" spans="1:19" s="2" customFormat="1" x14ac:dyDescent="0.3">
      <c r="A43" s="2">
        <v>22</v>
      </c>
      <c r="B43" s="2" t="s">
        <v>3</v>
      </c>
      <c r="C43" s="3">
        <v>6.1900000000000003E-9</v>
      </c>
      <c r="D43" s="2">
        <v>7.9802400000000004E-4</v>
      </c>
      <c r="E43" s="3">
        <v>1.38E-5</v>
      </c>
      <c r="F43" s="2">
        <v>8.5898329999999998E-3</v>
      </c>
      <c r="G43" s="3">
        <v>8.6899999999999998E-6</v>
      </c>
      <c r="H43" s="3">
        <v>1.2100000000000001E-6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3">
        <v>2.2500000000000001E-20</v>
      </c>
      <c r="O43" s="2">
        <v>0</v>
      </c>
      <c r="P43" s="3">
        <v>2.2500000000000001E-20</v>
      </c>
      <c r="Q43" s="2">
        <v>0</v>
      </c>
      <c r="R43" s="2">
        <v>9.4115629999999995E-3</v>
      </c>
      <c r="S43" s="3">
        <f>SUM(C43:Q43)</f>
        <v>9.4115631899999996E-3</v>
      </c>
    </row>
    <row r="44" spans="1:19" x14ac:dyDescent="0.3">
      <c r="R44" s="1"/>
    </row>
    <row r="45" spans="1:19" x14ac:dyDescent="0.3">
      <c r="A45" t="s">
        <v>6</v>
      </c>
      <c r="B45" t="s">
        <v>16</v>
      </c>
    </row>
    <row r="46" spans="1:19" x14ac:dyDescent="0.3">
      <c r="B46" s="8" t="s">
        <v>0</v>
      </c>
      <c r="C46">
        <f t="shared" ref="C46:Q46" si="8">C33/(1-$A$57)</f>
        <v>0</v>
      </c>
      <c r="D46">
        <f t="shared" si="8"/>
        <v>2.4584214935623647E-3</v>
      </c>
      <c r="E46">
        <f t="shared" si="8"/>
        <v>1.7521861289998683E-4</v>
      </c>
      <c r="F46">
        <f t="shared" si="8"/>
        <v>4.2138596023584378E-3</v>
      </c>
      <c r="G46">
        <f t="shared" si="8"/>
        <v>0</v>
      </c>
      <c r="H46">
        <f t="shared" si="8"/>
        <v>0</v>
      </c>
      <c r="I46">
        <f t="shared" si="8"/>
        <v>0</v>
      </c>
      <c r="J46">
        <f t="shared" si="8"/>
        <v>0</v>
      </c>
      <c r="K46">
        <f t="shared" si="8"/>
        <v>0</v>
      </c>
      <c r="L46">
        <f t="shared" si="8"/>
        <v>0</v>
      </c>
      <c r="M46">
        <f t="shared" si="8"/>
        <v>0</v>
      </c>
      <c r="N46">
        <f t="shared" si="8"/>
        <v>0</v>
      </c>
      <c r="O46">
        <f t="shared" si="8"/>
        <v>0</v>
      </c>
      <c r="P46">
        <f t="shared" si="8"/>
        <v>0</v>
      </c>
      <c r="Q46">
        <f t="shared" si="8"/>
        <v>0</v>
      </c>
      <c r="S46" s="3">
        <f>SUM(C46:Q46)</f>
        <v>6.8474997088207893E-3</v>
      </c>
    </row>
    <row r="47" spans="1:19" x14ac:dyDescent="0.3">
      <c r="B47" s="8" t="s">
        <v>24</v>
      </c>
      <c r="C47">
        <f>C34/(1-$A$61)</f>
        <v>0</v>
      </c>
      <c r="D47">
        <f t="shared" ref="D47:Q47" si="9">D34/(1-$A$61)</f>
        <v>0.34051965238567095</v>
      </c>
      <c r="E47">
        <f t="shared" si="9"/>
        <v>8.7001974512466768E-4</v>
      </c>
      <c r="F47">
        <f t="shared" si="9"/>
        <v>7.1457918513258766E-4</v>
      </c>
      <c r="G47">
        <f t="shared" si="9"/>
        <v>8.6036698265475396E-7</v>
      </c>
      <c r="H47">
        <f t="shared" si="9"/>
        <v>0</v>
      </c>
      <c r="I47">
        <f t="shared" si="9"/>
        <v>0</v>
      </c>
      <c r="J47">
        <f t="shared" si="9"/>
        <v>0</v>
      </c>
      <c r="K47">
        <f t="shared" si="9"/>
        <v>0</v>
      </c>
      <c r="L47">
        <f t="shared" si="9"/>
        <v>0</v>
      </c>
      <c r="M47">
        <f>M34/(1-$A$61)</f>
        <v>0</v>
      </c>
      <c r="N47">
        <f t="shared" si="9"/>
        <v>0</v>
      </c>
      <c r="O47">
        <f t="shared" si="9"/>
        <v>0</v>
      </c>
      <c r="P47">
        <f t="shared" si="9"/>
        <v>0</v>
      </c>
      <c r="Q47">
        <f t="shared" si="9"/>
        <v>0</v>
      </c>
      <c r="S47" s="3">
        <f>SUM(C47:Q47)</f>
        <v>0.34210511168291086</v>
      </c>
    </row>
    <row r="48" spans="1:19" x14ac:dyDescent="0.3">
      <c r="B48" s="8" t="s">
        <v>1</v>
      </c>
    </row>
    <row r="49" spans="1:19" x14ac:dyDescent="0.3">
      <c r="B49" s="8" t="s">
        <v>2</v>
      </c>
      <c r="C49" s="1">
        <f>C36/(1-$A$59)</f>
        <v>0</v>
      </c>
      <c r="D49" s="1">
        <f t="shared" ref="D49:Q49" si="10">D36/(1-$A$59)</f>
        <v>0.11440156487732971</v>
      </c>
      <c r="E49" s="1">
        <f t="shared" si="10"/>
        <v>1.8655898809005295E-5</v>
      </c>
      <c r="F49" s="1">
        <f t="shared" si="10"/>
        <v>0.27624128564654304</v>
      </c>
      <c r="G49" s="1">
        <f t="shared" si="10"/>
        <v>1.9022232821982125E-3</v>
      </c>
      <c r="H49" s="1">
        <f t="shared" si="10"/>
        <v>1.0105278521544534E-4</v>
      </c>
      <c r="I49" s="1">
        <f t="shared" si="10"/>
        <v>0</v>
      </c>
      <c r="J49" s="1">
        <f t="shared" si="10"/>
        <v>0</v>
      </c>
      <c r="K49" s="1">
        <f t="shared" si="10"/>
        <v>0</v>
      </c>
      <c r="L49" s="1">
        <f t="shared" si="10"/>
        <v>0</v>
      </c>
      <c r="M49" s="1">
        <f t="shared" si="10"/>
        <v>0</v>
      </c>
      <c r="N49" s="1">
        <f t="shared" si="10"/>
        <v>7.0666283367444292E-20</v>
      </c>
      <c r="O49" s="1">
        <f t="shared" si="10"/>
        <v>0</v>
      </c>
      <c r="P49" s="1">
        <f t="shared" si="10"/>
        <v>7.0666283367444292E-20</v>
      </c>
      <c r="Q49" s="1">
        <f t="shared" si="10"/>
        <v>0</v>
      </c>
      <c r="S49" s="3">
        <f>SUM(C49:Q49)</f>
        <v>0.3926647824900954</v>
      </c>
    </row>
    <row r="50" spans="1:19" x14ac:dyDescent="0.3">
      <c r="B50" s="8" t="s">
        <v>3</v>
      </c>
      <c r="C50" s="1">
        <f>C37/(1-$A$55)</f>
        <v>6.1914366533533117E-9</v>
      </c>
      <c r="D50" s="1">
        <f t="shared" ref="D50:Q50" si="11">D37/(1-$A$55)</f>
        <v>7.9802440169250482E-4</v>
      </c>
      <c r="E50" s="1">
        <f t="shared" si="11"/>
        <v>1.3823789473305212E-5</v>
      </c>
      <c r="F50" s="1">
        <f t="shared" si="11"/>
        <v>8.5898326069306224E-3</v>
      </c>
      <c r="G50" s="1">
        <f t="shared" si="11"/>
        <v>8.6905256297977405E-6</v>
      </c>
      <c r="H50" s="1">
        <f t="shared" si="11"/>
        <v>1.2090187210366287E-6</v>
      </c>
      <c r="I50" s="1">
        <f t="shared" si="11"/>
        <v>0</v>
      </c>
      <c r="J50" s="1">
        <f t="shared" si="11"/>
        <v>0</v>
      </c>
      <c r="K50" s="1">
        <f t="shared" si="11"/>
        <v>0</v>
      </c>
      <c r="L50" s="1">
        <f t="shared" si="11"/>
        <v>0</v>
      </c>
      <c r="M50" s="1">
        <f t="shared" si="11"/>
        <v>0</v>
      </c>
      <c r="N50" s="1">
        <f t="shared" si="11"/>
        <v>2.2514315103102953E-20</v>
      </c>
      <c r="O50" s="1">
        <f t="shared" si="11"/>
        <v>0</v>
      </c>
      <c r="P50" s="1">
        <f t="shared" si="11"/>
        <v>2.2514315103102953E-20</v>
      </c>
      <c r="Q50" s="1">
        <f t="shared" si="11"/>
        <v>0</v>
      </c>
      <c r="S50" s="3">
        <f>SUM(C50:Q50)</f>
        <v>9.4115865338839193E-3</v>
      </c>
    </row>
    <row r="53" spans="1:19" s="7" customFormat="1" ht="6" customHeight="1" x14ac:dyDescent="0.3"/>
    <row r="55" spans="1:19" x14ac:dyDescent="0.3">
      <c r="A55" s="5">
        <v>0.55583814323439995</v>
      </c>
      <c r="B55" t="s">
        <v>3</v>
      </c>
    </row>
    <row r="57" spans="1:19" x14ac:dyDescent="0.3">
      <c r="A57" s="5">
        <v>0.58794331946223599</v>
      </c>
      <c r="B57" t="s">
        <v>0</v>
      </c>
    </row>
    <row r="59" spans="1:19" x14ac:dyDescent="0.3">
      <c r="A59" s="5">
        <v>0.85848979847994999</v>
      </c>
      <c r="B59" t="s">
        <v>2</v>
      </c>
    </row>
    <row r="61" spans="1:19" x14ac:dyDescent="0.3">
      <c r="A61">
        <v>0.63968863723307701</v>
      </c>
      <c r="B61" t="s">
        <v>24</v>
      </c>
    </row>
    <row r="64" spans="1:19" x14ac:dyDescent="0.3">
      <c r="A64" t="s">
        <v>18</v>
      </c>
    </row>
    <row r="66" spans="1:25" x14ac:dyDescent="0.3">
      <c r="A66" t="s">
        <v>5</v>
      </c>
      <c r="B66" t="s">
        <v>16</v>
      </c>
      <c r="S66" t="s">
        <v>19</v>
      </c>
      <c r="T66" s="8" t="s">
        <v>29</v>
      </c>
      <c r="V66" t="s">
        <v>20</v>
      </c>
    </row>
    <row r="67" spans="1:25" x14ac:dyDescent="0.3">
      <c r="B67" s="8" t="s">
        <v>0</v>
      </c>
      <c r="C67">
        <v>0</v>
      </c>
      <c r="D67">
        <v>4.4654050932960614E-3</v>
      </c>
      <c r="E67">
        <v>3.7858869269249218E-3</v>
      </c>
      <c r="F67">
        <v>1.829845348013712E-2</v>
      </c>
      <c r="G67">
        <v>0</v>
      </c>
      <c r="H67">
        <v>0</v>
      </c>
      <c r="I67">
        <v>0</v>
      </c>
      <c r="J67">
        <v>2.4195700424000942E-5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S67">
        <f>SUM(C67:Q67)</f>
        <v>2.6573941200782103E-2</v>
      </c>
      <c r="T67" s="8"/>
      <c r="U67" t="s">
        <v>9</v>
      </c>
      <c r="V67">
        <v>2.6581995000000001E-2</v>
      </c>
      <c r="X67">
        <f>V67/S67</f>
        <v>1.0003030713117429</v>
      </c>
      <c r="Y67" t="s">
        <v>25</v>
      </c>
    </row>
    <row r="68" spans="1:25" x14ac:dyDescent="0.3">
      <c r="B68" s="8" t="s">
        <v>24</v>
      </c>
      <c r="C68">
        <f>C25*$X$68</f>
        <v>0</v>
      </c>
      <c r="D68">
        <f>D25*$X$68</f>
        <v>1.2091456889405473E-2</v>
      </c>
      <c r="E68">
        <f t="shared" ref="E68:Q68" si="12">E25*$X$68</f>
        <v>1.1041196714156445E-2</v>
      </c>
      <c r="F68">
        <f t="shared" si="12"/>
        <v>1.2091456889405473E-2</v>
      </c>
      <c r="G68">
        <f t="shared" si="12"/>
        <v>1.2360754370238555E-4</v>
      </c>
      <c r="H68">
        <f>H25*$X$68</f>
        <v>0</v>
      </c>
      <c r="I68">
        <f t="shared" si="12"/>
        <v>2.6714310098641933E-4</v>
      </c>
      <c r="J68">
        <f t="shared" si="12"/>
        <v>2.5044665717476816E-3</v>
      </c>
      <c r="K68">
        <f>K25*$X$68</f>
        <v>0</v>
      </c>
      <c r="L68">
        <f t="shared" si="12"/>
        <v>0</v>
      </c>
      <c r="M68">
        <f t="shared" si="12"/>
        <v>0</v>
      </c>
      <c r="N68">
        <f t="shared" si="12"/>
        <v>0</v>
      </c>
      <c r="O68">
        <f t="shared" si="12"/>
        <v>0</v>
      </c>
      <c r="P68">
        <f>P25*$X$68</f>
        <v>0</v>
      </c>
      <c r="Q68">
        <f t="shared" si="12"/>
        <v>0</v>
      </c>
      <c r="S68">
        <v>3.9285744116697732E-2</v>
      </c>
      <c r="T68" s="8">
        <f>S68*X68</f>
        <v>3.8119327709403843E-2</v>
      </c>
      <c r="U68" t="s">
        <v>24</v>
      </c>
      <c r="V68">
        <v>3.8119327709403843E-2</v>
      </c>
      <c r="X68">
        <f>V68/S68</f>
        <v>0.97030942308667834</v>
      </c>
      <c r="Y68" t="s">
        <v>26</v>
      </c>
    </row>
    <row r="69" spans="1:25" x14ac:dyDescent="0.3">
      <c r="B69" s="8" t="s">
        <v>1</v>
      </c>
      <c r="S69">
        <v>4.3554975699999998E-2</v>
      </c>
      <c r="T69" s="8"/>
      <c r="U69" t="s">
        <v>17</v>
      </c>
      <c r="V69">
        <v>4.3546002E-2</v>
      </c>
      <c r="X69">
        <f t="shared" ref="X69:X71" si="13">V69/S69</f>
        <v>0.999793968430569</v>
      </c>
      <c r="Y69" t="s">
        <v>25</v>
      </c>
    </row>
    <row r="70" spans="1:25" x14ac:dyDescent="0.3">
      <c r="B70" s="8" t="s">
        <v>2</v>
      </c>
      <c r="C70">
        <v>1.5334583490735398E-7</v>
      </c>
      <c r="D70">
        <v>1.3638592689916738E-2</v>
      </c>
      <c r="E70">
        <v>2.7277185379833476E-4</v>
      </c>
      <c r="F70">
        <v>5.003172862415052E-2</v>
      </c>
      <c r="G70">
        <v>3.2435824065656905E-3</v>
      </c>
      <c r="H70">
        <v>1.4981252073898178E-4</v>
      </c>
      <c r="I70">
        <v>0</v>
      </c>
      <c r="J70">
        <v>6.5154313264783591E-6</v>
      </c>
      <c r="K70">
        <v>1.017594480491197E-5</v>
      </c>
      <c r="L70">
        <v>0</v>
      </c>
      <c r="M70">
        <v>0</v>
      </c>
      <c r="N70">
        <v>7.0666283367444232E-20</v>
      </c>
      <c r="O70">
        <v>0</v>
      </c>
      <c r="P70">
        <v>7.0666283367444232E-20</v>
      </c>
      <c r="Q70">
        <v>0</v>
      </c>
      <c r="S70">
        <f t="shared" ref="S70:S71" si="14">SUM(C70:Q70)</f>
        <v>6.7353332817136569E-2</v>
      </c>
      <c r="T70" s="8"/>
      <c r="U70" t="s">
        <v>10</v>
      </c>
      <c r="V70">
        <v>6.7297144000000003E-2</v>
      </c>
      <c r="X70">
        <f t="shared" si="13"/>
        <v>0.99916576040432747</v>
      </c>
      <c r="Y70" t="s">
        <v>25</v>
      </c>
    </row>
    <row r="71" spans="1:25" x14ac:dyDescent="0.3">
      <c r="B71" s="8" t="s">
        <v>3</v>
      </c>
      <c r="C71">
        <v>3.6248047315995764E-7</v>
      </c>
      <c r="D71">
        <v>2.5666319217537373E-3</v>
      </c>
      <c r="E71">
        <v>1.1887558374438364E-3</v>
      </c>
      <c r="F71">
        <v>9.861270015159096E-2</v>
      </c>
      <c r="G71">
        <v>1.4138989884748658E-4</v>
      </c>
      <c r="H71">
        <v>1.452173324150141E-5</v>
      </c>
      <c r="I71">
        <v>0</v>
      </c>
      <c r="J71">
        <v>6.8218374762401968E-5</v>
      </c>
      <c r="K71">
        <v>2.2041514485937799E-6</v>
      </c>
      <c r="L71">
        <v>0</v>
      </c>
      <c r="M71">
        <v>0</v>
      </c>
      <c r="N71">
        <v>2.2514315103102959E-20</v>
      </c>
      <c r="O71">
        <v>0</v>
      </c>
      <c r="P71">
        <v>2.2514315103102959E-20</v>
      </c>
      <c r="Q71">
        <v>0</v>
      </c>
      <c r="S71">
        <f t="shared" si="14"/>
        <v>0.10259478454956167</v>
      </c>
      <c r="T71" s="8"/>
      <c r="U71" t="s">
        <v>11</v>
      </c>
      <c r="V71">
        <v>0.10265806500000001</v>
      </c>
      <c r="X71">
        <f t="shared" si="13"/>
        <v>1.0006167998764866</v>
      </c>
      <c r="Y71" t="s">
        <v>25</v>
      </c>
    </row>
    <row r="72" spans="1:25" x14ac:dyDescent="0.3">
      <c r="T72" s="8"/>
    </row>
    <row r="73" spans="1:25" x14ac:dyDescent="0.3">
      <c r="A73" t="s">
        <v>6</v>
      </c>
      <c r="B73" t="s">
        <v>16</v>
      </c>
      <c r="T73" s="8"/>
    </row>
    <row r="74" spans="1:25" x14ac:dyDescent="0.3">
      <c r="B74" s="8" t="s">
        <v>0</v>
      </c>
      <c r="C74">
        <v>0</v>
      </c>
      <c r="D74">
        <v>2.4584214935623643E-3</v>
      </c>
      <c r="E74">
        <v>1.7521861289998677E-4</v>
      </c>
      <c r="F74">
        <v>4.2138596023584369E-3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S74">
        <f>SUM(C74:Q74)</f>
        <v>6.8474997088207885E-3</v>
      </c>
      <c r="T74" s="8"/>
      <c r="W74">
        <f>V67*R88</f>
        <v>6.8495749895396991E-3</v>
      </c>
    </row>
    <row r="75" spans="1:25" x14ac:dyDescent="0.3">
      <c r="B75" s="8" t="s">
        <v>24</v>
      </c>
      <c r="C75">
        <f>C47*$X$68</f>
        <v>0</v>
      </c>
      <c r="D75">
        <f t="shared" ref="D75:Q75" si="15">D47*$X$68</f>
        <v>0.33040942745601665</v>
      </c>
      <c r="E75">
        <f t="shared" si="15"/>
        <v>8.4418835696593517E-4</v>
      </c>
      <c r="F75">
        <f t="shared" si="15"/>
        <v>6.933629168757498E-4</v>
      </c>
      <c r="G75">
        <f t="shared" si="15"/>
        <v>8.3482219058256053E-7</v>
      </c>
      <c r="H75">
        <f t="shared" si="15"/>
        <v>0</v>
      </c>
      <c r="I75">
        <f t="shared" si="15"/>
        <v>0</v>
      </c>
      <c r="J75">
        <f t="shared" si="15"/>
        <v>0</v>
      </c>
      <c r="K75">
        <f t="shared" si="15"/>
        <v>0</v>
      </c>
      <c r="L75">
        <f t="shared" si="15"/>
        <v>0</v>
      </c>
      <c r="M75">
        <f t="shared" si="15"/>
        <v>0</v>
      </c>
      <c r="N75">
        <f t="shared" si="15"/>
        <v>0</v>
      </c>
      <c r="O75">
        <f t="shared" si="15"/>
        <v>0</v>
      </c>
      <c r="P75">
        <f t="shared" si="15"/>
        <v>0</v>
      </c>
      <c r="Q75">
        <f t="shared" si="15"/>
        <v>0</v>
      </c>
      <c r="S75">
        <v>0.34210511168291052</v>
      </c>
      <c r="T75" s="8">
        <f>S75*X68</f>
        <v>0.33194781355204855</v>
      </c>
      <c r="W75">
        <f>V68*R89</f>
        <v>0.33194781355204855</v>
      </c>
    </row>
    <row r="76" spans="1:25" x14ac:dyDescent="0.3">
      <c r="B76" s="8" t="s">
        <v>1</v>
      </c>
      <c r="S76">
        <v>6.3261028600000001E-6</v>
      </c>
      <c r="W76">
        <f>V69*R90</f>
        <v>6.3247994830993721E-6</v>
      </c>
    </row>
    <row r="77" spans="1:25" x14ac:dyDescent="0.3">
      <c r="B77" s="8" t="s">
        <v>2</v>
      </c>
      <c r="C77">
        <v>0</v>
      </c>
      <c r="D77">
        <v>0.11440156487732961</v>
      </c>
      <c r="E77">
        <v>1.8655898809005281E-5</v>
      </c>
      <c r="F77">
        <v>0.27624128564654282</v>
      </c>
      <c r="G77">
        <v>1.902223282198211E-3</v>
      </c>
      <c r="H77">
        <v>1.0105278521544526E-4</v>
      </c>
      <c r="I77">
        <v>0</v>
      </c>
      <c r="J77">
        <v>0</v>
      </c>
      <c r="K77">
        <v>0</v>
      </c>
      <c r="L77">
        <v>0</v>
      </c>
      <c r="M77">
        <v>0</v>
      </c>
      <c r="N77">
        <v>7.0666283367444232E-20</v>
      </c>
      <c r="O77">
        <v>0</v>
      </c>
      <c r="P77">
        <v>7.0666283367444232E-20</v>
      </c>
      <c r="Q77">
        <v>0</v>
      </c>
      <c r="S77">
        <f t="shared" ref="S77:S78" si="16">SUM(C77:Q77)</f>
        <v>0.39266478249009507</v>
      </c>
      <c r="W77">
        <f>V70*R91</f>
        <v>0.3923372059807157</v>
      </c>
    </row>
    <row r="78" spans="1:25" x14ac:dyDescent="0.3">
      <c r="B78" s="8" t="s">
        <v>3</v>
      </c>
      <c r="C78">
        <v>6.1914366533533133E-9</v>
      </c>
      <c r="D78">
        <v>7.9802440169250504E-4</v>
      </c>
      <c r="E78">
        <v>1.3823789473305216E-5</v>
      </c>
      <c r="F78">
        <v>8.5898326069306242E-3</v>
      </c>
      <c r="G78">
        <v>8.6905256297977422E-6</v>
      </c>
      <c r="H78">
        <v>1.2090187210366289E-6</v>
      </c>
      <c r="I78">
        <v>0</v>
      </c>
      <c r="J78">
        <v>0</v>
      </c>
      <c r="K78">
        <v>0</v>
      </c>
      <c r="L78">
        <v>0</v>
      </c>
      <c r="M78">
        <v>0</v>
      </c>
      <c r="N78">
        <v>2.2514315103102959E-20</v>
      </c>
      <c r="O78">
        <v>0</v>
      </c>
      <c r="P78">
        <v>2.2514315103102959E-20</v>
      </c>
      <c r="Q78">
        <v>0</v>
      </c>
      <c r="S78">
        <f t="shared" si="16"/>
        <v>9.4115865338839227E-3</v>
      </c>
      <c r="W78">
        <f>V71*R92</f>
        <v>9.4173915992955652E-3</v>
      </c>
    </row>
    <row r="79" spans="1:25" x14ac:dyDescent="0.3">
      <c r="V79" t="s">
        <v>21</v>
      </c>
      <c r="X79" t="s">
        <v>22</v>
      </c>
    </row>
    <row r="80" spans="1:25" x14ac:dyDescent="0.3">
      <c r="S80">
        <f>S67+S74</f>
        <v>3.342144090960289E-2</v>
      </c>
      <c r="U80" t="s">
        <v>9</v>
      </c>
      <c r="V80">
        <v>3.3431570000000001E-2</v>
      </c>
      <c r="X80">
        <f>V67+W74</f>
        <v>3.3431569989539701E-2</v>
      </c>
    </row>
    <row r="81" spans="7:25" x14ac:dyDescent="0.3">
      <c r="S81" s="8">
        <f>T68+T75</f>
        <v>0.3700671412614524</v>
      </c>
      <c r="U81" t="s">
        <v>24</v>
      </c>
      <c r="X81">
        <f>V68+W75</f>
        <v>0.3700671412614524</v>
      </c>
    </row>
    <row r="82" spans="7:25" x14ac:dyDescent="0.3">
      <c r="S82">
        <f>S69+S76</f>
        <v>4.3561301802859997E-2</v>
      </c>
      <c r="U82" t="s">
        <v>17</v>
      </c>
      <c r="V82" s="4">
        <v>4.3546002E-2</v>
      </c>
      <c r="X82" s="4">
        <f>V69+W76</f>
        <v>4.35523267994831E-2</v>
      </c>
      <c r="Y82" s="6" t="s">
        <v>23</v>
      </c>
    </row>
    <row r="83" spans="7:25" x14ac:dyDescent="0.3">
      <c r="S83">
        <f>S70+S77</f>
        <v>0.46001811530723163</v>
      </c>
      <c r="U83" t="s">
        <v>10</v>
      </c>
      <c r="V83">
        <v>0.45963439099999998</v>
      </c>
      <c r="X83">
        <f>V70+W77</f>
        <v>0.45963434998071573</v>
      </c>
    </row>
    <row r="84" spans="7:25" x14ac:dyDescent="0.3">
      <c r="S84">
        <f>S71+S78</f>
        <v>0.11200637108344559</v>
      </c>
      <c r="U84" t="s">
        <v>11</v>
      </c>
      <c r="V84">
        <v>0.112075455</v>
      </c>
      <c r="X84">
        <f>V71+W78</f>
        <v>0.11207545659929558</v>
      </c>
    </row>
    <row r="87" spans="7:25" x14ac:dyDescent="0.3">
      <c r="R87" t="s">
        <v>27</v>
      </c>
    </row>
    <row r="88" spans="7:25" x14ac:dyDescent="0.3">
      <c r="Q88" t="s">
        <v>0</v>
      </c>
      <c r="R88">
        <f>S74/S67</f>
        <v>0.25767723564539452</v>
      </c>
    </row>
    <row r="89" spans="7:25" x14ac:dyDescent="0.3">
      <c r="Q89" t="s">
        <v>24</v>
      </c>
      <c r="R89">
        <f>S75/S68</f>
        <v>8.7081235031896629</v>
      </c>
      <c r="X89">
        <f>X81/V68</f>
        <v>9.7081235031896629</v>
      </c>
    </row>
    <row r="90" spans="7:25" x14ac:dyDescent="0.3">
      <c r="Q90" t="s">
        <v>1</v>
      </c>
      <c r="R90">
        <f>S76/S69</f>
        <v>1.4524409113606738E-4</v>
      </c>
    </row>
    <row r="91" spans="7:25" x14ac:dyDescent="0.3">
      <c r="Q91" t="s">
        <v>2</v>
      </c>
      <c r="R91">
        <f>S77/S70</f>
        <v>5.829923569724083</v>
      </c>
    </row>
    <row r="92" spans="7:25" x14ac:dyDescent="0.3">
      <c r="Q92" t="s">
        <v>3</v>
      </c>
      <c r="R92">
        <f>S78/S71</f>
        <v>9.173552608161438E-2</v>
      </c>
    </row>
    <row r="94" spans="7:25" x14ac:dyDescent="0.3">
      <c r="G94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577C0D6857945AEDF9E79A104DE0D" ma:contentTypeVersion="6" ma:contentTypeDescription="Create a new document." ma:contentTypeScope="" ma:versionID="8b42bba04ebdbe16b252693fa606f314">
  <xsd:schema xmlns:xsd="http://www.w3.org/2001/XMLSchema" xmlns:xs="http://www.w3.org/2001/XMLSchema" xmlns:p="http://schemas.microsoft.com/office/2006/metadata/properties" xmlns:ns2="28fd9e4a-4555-48c3-a433-4e817f86ff40" xmlns:ns3="aa8722b0-1b49-4694-aefb-05e53e58bd2e" targetNamespace="http://schemas.microsoft.com/office/2006/metadata/properties" ma:root="true" ma:fieldsID="e92430de56b1715ec047cd11382a0699" ns2:_="" ns3:_="">
    <xsd:import namespace="28fd9e4a-4555-48c3-a433-4e817f86ff40"/>
    <xsd:import namespace="aa8722b0-1b49-4694-aefb-05e53e58b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d9e4a-4555-48c3-a433-4e817f86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22b0-1b49-4694-aefb-05e53e58b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D29876-DECF-4D53-9BBC-8CD96B67EFF7}"/>
</file>

<file path=customXml/itemProps2.xml><?xml version="1.0" encoding="utf-8"?>
<ds:datastoreItem xmlns:ds="http://schemas.openxmlformats.org/officeDocument/2006/customXml" ds:itemID="{028B9690-3A44-4E5A-9238-F99ED8C4C5D4}"/>
</file>

<file path=customXml/itemProps3.xml><?xml version="1.0" encoding="utf-8"?>
<ds:datastoreItem xmlns:ds="http://schemas.openxmlformats.org/officeDocument/2006/customXml" ds:itemID="{61894F5C-69F3-489F-94B6-9D65694221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Lorré</dc:creator>
  <cp:lastModifiedBy>Dries Lorré</cp:lastModifiedBy>
  <dcterms:created xsi:type="dcterms:W3CDTF">2015-06-05T18:17:20Z</dcterms:created>
  <dcterms:modified xsi:type="dcterms:W3CDTF">2024-08-08T14:37:32Z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0x0101007C7577C0D6857945AEDF9E79A104DE0D</vt:lpwstr>
  </property>
</Properties>
</file>